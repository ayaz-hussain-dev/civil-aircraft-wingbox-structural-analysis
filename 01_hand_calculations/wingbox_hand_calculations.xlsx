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3ad2233e7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4cd4758d21437b"/>
    <x:sheet xmlns:r="http://schemas.openxmlformats.org/officeDocument/2006/relationships" name="Inputs" sheetId="2" r:id="Rf918d7d4edd84856"/>
    <x:sheet xmlns:r="http://schemas.openxmlformats.org/officeDocument/2006/relationships" name="Beam Calc" sheetId="3" r:id="R5115a9abb5e34f43"/>
    <x:sheet xmlns:r="http://schemas.openxmlformats.org/officeDocument/2006/relationships" name="Buckling" sheetId="4" r:id="R00911f7d80b14e83"/>
    <x:sheet xmlns:r="http://schemas.openxmlformats.org/officeDocument/2006/relationships" name="Fatigue" sheetId="5" r:id="Rcc6f30048a0249c8"/>
    <x:sheet xmlns:r="http://schemas.openxmlformats.org/officeDocument/2006/relationships" name="Sizing" sheetId="6" r:id="Reb9d2a82f51c446f"/>
    <x:sheet xmlns:r="http://schemas.openxmlformats.org/officeDocument/2006/relationships" name="Audit" sheetId="7" r:id="Rff9a8e1a93f64e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0.0%"/>
    <x:numFmt numFmtId="201" formatCode="0.00"/>
    <x:numFmt numFmtId="202" formatCode="#,##0"/>
    <x:numFmt numFmtId="203" formatCode="#,##0.000"/>
    <x:numFmt numFmtId="204" formatCode="0.000E+00"/>
    <x:numFmt numFmtId="205" formatCode="#,##0.0"/>
    <x:numFmt numFmtId="206" formatCode="0.0000"/>
    <x:numFmt numFmtId="207" formatCode="0.000"/>
    <x:numFmt numFmtId="208" formatCode="0.0"/>
    <x:numFmt numFmtId="209" formatCode="0"/>
    <x:numFmt numFmtId="210" formatCode="0.000000"/>
    <x:numFmt numFmtId="211" formatCode="0.00000"/>
    <x:numFmt numFmtId="212" formatCode="0.00%"/>
  </x:numFmts>
  <x:fonts count="7">
    <x:font>
      <x:sz val="11"/>
      <x:name val="Carlito"/>
    </x:font>
    <x:font>
      <x:sz val="10"/>
      <x:color rgb="FF222222"/>
      <x:name val="Aptos"/>
    </x:font>
    <x:font>
      <x:b/>
      <x:sz val="18"/>
      <x:color rgb="FFFFFFFF"/>
      <x:name val="Aptos"/>
    </x:font>
    <x:font>
      <x:i/>
      <x:sz val="10"/>
      <x:color rgb="FF595959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  <x:font>
      <x:b/>
      <x:sz val="10"/>
      <x:color rgb="FF17365D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1F6D74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</x:fills>
  <x:borders count="5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1F6D74"/>
      </x:left>
      <x:top style="thin">
        <x:color rgb="FF1F6D74"/>
      </x:top>
      <x:bottom style="thin">
        <x:color rgb="FF1F6D74"/>
      </x:bottom>
    </x:border>
    <x:border>
      <x:top style="thin">
        <x:color rgb="FF1F6D74"/>
      </x:top>
      <x:bottom style="thin">
        <x:color rgb="FF1F6D74"/>
      </x:bottom>
    </x:border>
    <x:border>
      <x:right style="thin">
        <x:color rgb="FF1F6D74"/>
      </x:right>
      <x:top style="thin">
        <x:color rgb="FF1F6D74"/>
      </x:top>
      <x:bottom style="thin">
        <x:color rgb="FF1F6D74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right" vertical="center" wrapText="1"/>
    </x:xf>
    <x:xf numFmtId="0" fontId="1" fillId="6" borderId="1" xfId="0" applyNumberFormat="1" applyFont="1" applyFill="1" applyBorder="1" applyAlignment="1">
      <x:alignment horizontal="right" vertical="center" wrapText="1"/>
    </x:xf>
    <x:xf numFmtId="0" fontId="1" fillId="7" borderId="1" xfId="0" applyNumberFormat="1" applyFont="1" applyFill="1" applyBorder="1" applyAlignment="1">
      <x:alignment horizontal="right" vertical="center" wrapText="1"/>
    </x:xf>
    <x:xf numFmtId="200" fontId="1" fillId="6" borderId="1" xfId="0" applyNumberFormat="1" applyFont="1" applyFill="1" applyBorder="1" applyAlignment="1">
      <x:alignment horizontal="right" vertical="center" wrapText="1"/>
    </x:xf>
    <x:xf numFmtId="200" fontId="1" fillId="7" borderId="1" xfId="0" applyNumberFormat="1" applyFont="1" applyFill="1" applyBorder="1" applyAlignment="1">
      <x:alignment horizontal="right" vertical="center" wrapText="1"/>
    </x:xf>
    <x:xf numFmtId="201" fontId="1" fillId="6" borderId="1" xfId="0" applyNumberFormat="1" applyFont="1" applyFill="1" applyBorder="1" applyAlignment="1">
      <x:alignment horizontal="right" vertical="center" wrapText="1"/>
    </x:xf>
    <x:xf numFmtId="202" fontId="1" fillId="6" borderId="1" xfId="0" applyNumberFormat="1" applyFont="1" applyFill="1" applyBorder="1" applyAlignment="1">
      <x:alignment horizontal="right" vertical="center" wrapText="1"/>
    </x:xf>
    <x:xf numFmtId="203" fontId="1" fillId="6" borderId="1" xfId="0" applyNumberFormat="1" applyFont="1" applyFill="1" applyBorder="1" applyAlignment="1">
      <x:alignment horizontal="right" vertical="center" wrapText="1"/>
    </x:xf>
    <x:xf numFmtId="204" fontId="1" fillId="6" borderId="1" xfId="0" applyNumberFormat="1" applyFont="1" applyFill="1" applyBorder="1" applyAlignment="1">
      <x:alignment horizontal="right" vertical="center" wrapText="1"/>
    </x:xf>
    <x:xf numFmtId="205" fontId="1" fillId="6" borderId="1" xfId="0" applyNumberFormat="1" applyFont="1" applyFill="1" applyBorder="1" applyAlignment="1">
      <x:alignment horizontal="right" vertical="center" wrapText="1"/>
    </x:xf>
    <x:xf numFmtId="206" fontId="1" fillId="6" borderId="1" xfId="0" applyNumberFormat="1" applyFont="1" applyFill="1" applyBorder="1" applyAlignment="1">
      <x:alignment horizontal="right" vertical="center" wrapText="1"/>
    </x:xf>
    <x:xf numFmtId="204" fontId="1" fillId="7" borderId="1" xfId="0" applyNumberFormat="1" applyFont="1" applyFill="1" applyBorder="1" applyAlignment="1">
      <x:alignment horizontal="right" vertical="center" wrapText="1"/>
    </x:xf>
    <x:xf numFmtId="207" fontId="1" fillId="6" borderId="1" xfId="0" applyNumberFormat="1" applyFont="1" applyFill="1" applyBorder="1" applyAlignment="1">
      <x:alignment horizontal="right" vertical="center" wrapText="1"/>
    </x:xf>
    <x:xf numFmtId="201" fontId="1" fillId="7" borderId="1" xfId="0" applyNumberFormat="1" applyFont="1" applyFill="1" applyBorder="1" applyAlignment="1">
      <x:alignment horizontal="right" vertical="center" wrapText="1"/>
    </x:xf>
    <x:xf numFmtId="208" fontId="1" fillId="7" borderId="1" xfId="0" applyNumberFormat="1" applyFont="1" applyFill="1" applyBorder="1" applyAlignment="1">
      <x:alignment horizontal="right" vertical="center" wrapText="1"/>
    </x:xf>
    <x:xf numFmtId="207" fontId="1" fillId="7" borderId="1" xfId="0" applyNumberFormat="1" applyFont="1" applyFill="1" applyBorder="1" applyAlignment="1">
      <x:alignment horizontal="right" vertical="center" wrapText="1"/>
    </x:xf>
    <x:xf numFmtId="209" fontId="1" fillId="7" borderId="1" xfId="0" applyNumberFormat="1" applyFont="1" applyFill="1" applyBorder="1" applyAlignment="1">
      <x:alignment horizontal="right" vertical="center" wrapText="1"/>
    </x:xf>
    <x:xf numFmtId="202" fontId="1" fillId="7" borderId="1" xfId="0" applyNumberFormat="1" applyFont="1" applyFill="1" applyBorder="1" applyAlignment="1">
      <x:alignment horizontal="right" vertical="center" wrapText="1"/>
    </x:xf>
    <x:xf numFmtId="210" fontId="1" fillId="7" borderId="1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7" fontId="1" fillId="0" borderId="1" xfId="0" applyNumberFormat="1" applyFont="1" applyFill="1" applyBorder="1" applyAlignment="1">
      <x:alignment vertical="center" wrapText="1"/>
    </x:xf>
    <x:xf numFmtId="206" fontId="1" fillId="0" borderId="1" xfId="0" applyNumberFormat="1" applyFont="1" applyFill="1" applyBorder="1" applyAlignment="1">
      <x:alignment vertical="center" wrapText="1"/>
    </x:xf>
    <x:xf numFmtId="205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10" fontId="1" fillId="0" borderId="1" xfId="0" applyNumberFormat="1" applyFont="1" applyFill="1" applyBorder="1" applyAlignment="1">
      <x:alignment vertical="center" wrapText="1"/>
    </x:xf>
    <x:xf numFmtId="207" fontId="1" fillId="6" borderId="1" xfId="0" applyNumberFormat="1" applyFont="1" applyFill="1" applyBorder="1" applyAlignment="1">
      <x:alignment vertical="center" wrapText="1"/>
    </x:xf>
    <x:xf numFmtId="206" fontId="1" fillId="6" borderId="1" xfId="0" applyNumberFormat="1" applyFont="1" applyFill="1" applyBorder="1" applyAlignment="1">
      <x:alignment vertical="center" wrapText="1"/>
    </x:xf>
    <x:xf numFmtId="205" fontId="1" fillId="6" borderId="1" xfId="0" applyNumberFormat="1" applyFont="1" applyFill="1" applyBorder="1" applyAlignment="1">
      <x:alignment vertical="center" wrapText="1"/>
    </x:xf>
    <x:xf numFmtId="201" fontId="1" fillId="8" borderId="1" xfId="0" applyNumberFormat="1" applyFont="1" applyFill="1" applyBorder="1" applyAlignment="1">
      <x:alignment vertical="center" wrapText="1"/>
    </x:xf>
    <x:xf numFmtId="210" fontId="1" fillId="8" borderId="1" xfId="0" applyNumberFormat="1" applyFont="1" applyFill="1" applyBorder="1" applyAlignment="1">
      <x:alignment vertical="center" wrapText="1"/>
    </x:xf>
    <x:xf numFmtId="206" fontId="1" fillId="8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208" fontId="1" fillId="8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207" fontId="1" fillId="8" borderId="1" xfId="0" applyNumberFormat="1" applyFont="1" applyFill="1" applyBorder="1" applyAlignment="1">
      <x:alignment vertical="center" wrapText="1"/>
    </x:xf>
    <x:xf numFmtId="202" fontId="1" fillId="8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4" fontId="1" fillId="6" borderId="1" xfId="0" applyNumberFormat="1" applyFont="1" applyFill="1" applyBorder="1" applyAlignment="1">
      <x:alignment vertical="center" wrapText="1"/>
    </x:xf>
    <x:xf numFmtId="201" fontId="1" fillId="7" borderId="1" xfId="0" applyNumberFormat="1" applyFont="1" applyFill="1" applyBorder="1" applyAlignment="1">
      <x:alignment vertical="center" wrapText="1"/>
    </x:xf>
    <x:xf numFmtId="205" fontId="1" fillId="8" borderId="1" xfId="0" applyNumberFormat="1" applyFont="1" applyFill="1" applyBorder="1" applyAlignment="1">
      <x:alignment vertical="center" wrapText="1"/>
    </x:xf>
    <x:xf numFmtId="200" fontId="1" fillId="8" borderId="1" xfId="0" applyNumberFormat="1" applyFont="1" applyFill="1" applyBorder="1" applyAlignment="1">
      <x:alignment vertical="center" wrapText="1"/>
    </x:xf>
    <x:xf numFmtId="207" fontId="1" fillId="7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 wrapText="1"/>
    </x:xf>
    <x:xf numFmtId="208" fontId="1" fillId="0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204" fontId="1" fillId="0" borderId="1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horizontal="right" vertical="center" wrapText="1"/>
    </x:xf>
    <x:xf numFmtId="211" fontId="1" fillId="7" borderId="1" xfId="0" applyNumberFormat="1" applyFont="1" applyFill="1" applyBorder="1" applyAlignment="1">
      <x:alignment horizontal="right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210" fontId="1" fillId="11" borderId="1" xfId="0" applyNumberFormat="1" applyFont="1" applyFill="1" applyBorder="1" applyAlignment="1">
      <x:alignment vertical="center" wrapText="1"/>
    </x:xf>
    <x:xf numFmtId="206" fontId="1" fillId="11" borderId="1" xfId="0" applyNumberFormat="1" applyFont="1" applyFill="1" applyBorder="1" applyAlignment="1">
      <x:alignment vertical="center" wrapText="1"/>
    </x:xf>
    <x:xf numFmtId="212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2"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63363364242c4" /><Relationship Type="http://schemas.openxmlformats.org/officeDocument/2006/relationships/theme" Target="/xl/theme/theme1.xml" Id="R7b8f2f8464b1459a" /><Relationship Type="http://schemas.openxmlformats.org/officeDocument/2006/relationships/sharedStrings" Target="/xl/sharedStrings.xml" Id="Rbdbe9b6a657e4264" /><Relationship Type="http://schemas.openxmlformats.org/officeDocument/2006/relationships/worksheet" Target="/xl/worksheets/sheet1.xml" Id="Rd64cd4758d21437b" /><Relationship Type="http://schemas.openxmlformats.org/officeDocument/2006/relationships/worksheet" Target="/xl/worksheets/sheet2.xml" Id="Rf918d7d4edd84856" /><Relationship Type="http://schemas.openxmlformats.org/officeDocument/2006/relationships/worksheet" Target="/xl/worksheets/sheet3.xml" Id="R5115a9abb5e34f43" /><Relationship Type="http://schemas.openxmlformats.org/officeDocument/2006/relationships/worksheet" Target="/xl/worksheets/sheet4.xml" Id="R00911f7d80b14e83" /><Relationship Type="http://schemas.openxmlformats.org/officeDocument/2006/relationships/worksheet" Target="/xl/worksheets/sheet5.xml" Id="Rcc6f30048a0249c8" /><Relationship Type="http://schemas.openxmlformats.org/officeDocument/2006/relationships/worksheet" Target="/xl/worksheets/sheet6.xml" Id="Reb9d2a82f51c446f" /><Relationship Type="http://schemas.openxmlformats.org/officeDocument/2006/relationships/worksheet" Target="/xl/worksheets/sheet7.xml" Id="Rff9a8e1a93f64e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3ece3576654076" /><Relationship Type="http://schemas.openxmlformats.org/officeDocument/2006/relationships/chart" Target="/xl/drawings/charts/chart2.xml" Id="R6528537f5a0e41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Beam deflection along span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'Audit'!$A$28:$A$38</c:f>
              <c:strCache>
                <c:ptCount val="0"/>
              </c:strCache>
            </c:strRef>
          </c:cat>
          <c:val>
            <c:numRef>
              <c:f>'Audit'!$B$28:$B$38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Span ratio η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Deflection (m)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Vertical bending moment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'Audit'!$A$28:$A$38</c:f>
              <c:strCache>
                <c:ptCount val="0"/>
              </c:strCache>
            </c:strRef>
          </c:cat>
          <c:val>
            <c:numRef>
              <c:f>'Audit'!$C$28:$C$38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Span ratio η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Moment (MN·m)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3ece3576654076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28537f5a0e41f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a3a1eeb66744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3" hidden="0" customWidth="1"/>
    <x:col min="4" max="4" width="18" hidden="0" customWidth="1"/>
    <x:col min="5" max="5" width="54" hidden="0" customWidth="1"/>
  </x:cols>
  <x:sheetData>
    <x:row r="1" ht="32" hidden="0" customHeight="1">
      <x:c r="A1" s="73" t="str">
        <x:v>uCRM-9 ANSYS-aligned hand calculations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2" hidden="0" customHeight="1">
      <x:c r="A2" s="7" t="str">
        <x:v>Completed ANSYS results retained. The analytical model now uses the same elastic material, swept load path, and web-shear deformation.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 ht="15" hidden="0" customHeight="1">
      <x:c r="A4" s="12" t="str">
        <x:v>Metric</x:v>
      </x:c>
      <x:c r="B4" s="12" t="str">
        <x:v>Result</x:v>
      </x:c>
      <x:c r="C4" s="12" t="str">
        <x:v>Unit</x:v>
      </x:c>
      <x:c r="D4" s="12" t="str">
        <x:v>Status</x:v>
      </x:c>
      <x:c r="E4" s="12" t="str">
        <x:v>What it means</x:v>
      </x:c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15" hidden="0" customHeight="1">
      <x:c r="A5" s="17" t="str">
        <x:v>Lift from qSCL, half wing</x:v>
      </x:c>
      <x:c r="B5" s="59" t="n">
        <x:f>Inputs!$B$33/1000</x:f>
        <x:v>1051.0556795310858</x:v>
      </x:c>
      <x:c r="C5" s="17" t="str">
        <x:v>kN</x:v>
      </x:c>
      <x:c r="D5" s="17" t="str">
        <x:v>Reference</x:v>
      </x:c>
      <x:c r="E5" s="17" t="str">
        <x:v>Independent atmosphere and lift-equation check</x:v>
      </x:c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15" hidden="0" customHeight="1">
      <x:c r="A6" s="17" t="str">
        <x:v>Aerodynamic BDF vertical force</x:v>
      </x:c>
      <x:c r="B6" s="59" t="n">
        <x:f>Inputs!$B$34/1000</x:f>
        <x:v>967.01071830914</x:v>
      </x:c>
      <x:c r="C6" s="17" t="str">
        <x:v>kN</x:v>
      </x:c>
      <x:c r="D6" s="17" t="str">
        <x:v>Reference</x:v>
      </x:c>
      <x:c r="E6" s="17" t="str">
        <x:v>Sum of the official 1g aerodynamic FORCE cards</x:v>
      </x:c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15" hidden="0" customHeight="1">
      <x:c r="A7" s="17" t="str">
        <x:v>Aerodynamic load difference</x:v>
      </x:c>
      <x:c r="B7" s="60" t="n">
        <x:f>Inputs!$B$35</x:f>
        <x:v>0.07996242526318048</x:v>
      </x:c>
      <x:c r="C7" s="17" t="str">
        <x:v>%</x:v>
      </x:c>
      <x:c r="D7" s="17" t="str">
        <x:f>IF(B7&lt;=Inputs!$B$36,"Within 8%","Outside 8%")</x:f>
        <x:v>Within 8%</x:v>
      </x:c>
      <x:c r="E7" s="17" t="str">
        <x:v>Independent aerodynamic load sanity check</x:v>
      </x:c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15" hidden="0" customHeight="1">
      <x:c r="A8" s="17" t="str">
        <x:v>Net root vertical load</x:v>
      </x:c>
      <x:c r="B8" s="59" t="n">
        <x:f>'Beam Calc'!$F$5*'Beam Calc'!$I$5</x:f>
        <x:v>632.2101084986424</x:v>
      </x:c>
      <x:c r="C8" s="17" t="str">
        <x:v>kN</x:v>
      </x:c>
      <x:c r="D8" s="17" t="str">
        <x:v>Calculated</x:v>
      </x:c>
      <x:c r="E8" s="17" t="str">
        <x:v>Aerodynamic load plus wingbox, LE/TE, engine and 20% fuel inertia</x:v>
      </x:c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15" hidden="0" customHeight="1">
      <x:c r="A9" s="17" t="str">
        <x:v>Root vertical bending moment</x:v>
      </x:c>
      <x:c r="B9" s="54" t="n">
        <x:f>'Beam Calc'!$G$5*'Beam Calc'!$I$5</x:f>
        <x:v>10.846390093579268</x:v>
      </x:c>
      <x:c r="C9" s="17" t="str">
        <x:v>MN·m</x:v>
      </x:c>
      <x:c r="D9" s="17" t="str">
        <x:v>Calculated</x:v>
      </x:c>
      <x:c r="E9" s="17" t="str">
        <x:v>Outboard point-load resultant about the root</x:v>
      </x:c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15" hidden="0" customHeight="1">
      <x:c r="A10" s="17" t="str">
        <x:v>Root torsion about section axis</x:v>
      </x:c>
      <x:c r="B10" s="54" t="n">
        <x:f>'Beam Calc'!$H$5*'Beam Calc'!$I$5</x:f>
        <x:v>-0.2949328542440666</x:v>
      </x:c>
      <x:c r="C10" s="17" t="str">
        <x:v>MN·m</x:v>
      </x:c>
      <x:c r="D10" s="17" t="str">
        <x:v>Calculated</x:v>
      </x:c>
      <x:c r="E10" s="17" t="str">
        <x:v>Moment of applied forces about the shell-area centroid line</x:v>
      </x:c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15" hidden="0" customHeight="1">
      <x:c r="A11" s="17" t="str">
        <x:v>Analytical total tip deformation</x:v>
      </x:c>
      <x:c r="B11" s="49" t="n">
        <x:f>'Beam Calc'!$L$65+'Beam Calc'!$N$65</x:f>
        <x:v>2.796930467155179</x:v>
      </x:c>
      <x:c r="C11" s="17" t="str">
        <x:v>m</x:v>
      </x:c>
      <x:c r="D11" s="17" t="str">
        <x:v>Calculated</x:v>
      </x:c>
      <x:c r="E11" s="17" t="str">
        <x:v>Swept beam: bending + web shear; torsional deflection &lt; 1 mm</x:v>
      </x:c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15" hidden="0" customHeight="1">
      <x:c r="A12" s="17" t="str">
        <x:v>ANSYS total deformation</x:v>
      </x:c>
      <x:c r="B12" s="49" t="n">
        <x:f>Inputs!$B$62</x:f>
        <x:v>2.9277</x:v>
      </x:c>
      <x:c r="C12" s="17" t="str">
        <x:v>m</x:v>
      </x:c>
      <x:c r="D12" s="17" t="str">
        <x:v>Observed</x:v>
      </x:c>
      <x:c r="E12" s="17" t="str">
        <x:v>Completed maximum total deformation; no ANSYS rerun required</x:v>
      </x:c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15" hidden="0" customHeight="1">
      <x:c r="A13" s="17" t="str">
        <x:v>Deformation difference</x:v>
      </x:c>
      <x:c r="B13" s="60" t="n">
        <x:f>ABS(B12-B11)/B11</x:f>
        <x:v>0.04675465993183223</x:v>
      </x:c>
      <x:c r="C13" s="17" t="str">
        <x:v>%</x:v>
      </x:c>
      <x:c r="D13" s="17" t="str">
        <x:f>IF(B13&lt;=Inputs!$B$48,"Pass","Investigate")</x:f>
        <x:v>Pass</x:v>
      </x:c>
      <x:c r="E13" s="17" t="str">
        <x:v>Like-for-like deformation comparison using the analytical value as reference</x:v>
      </x:c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15" hidden="0" customHeight="1">
      <x:c r="A14" s="17" t="str">
        <x:v>Peak nominal hand VM stress</x:v>
      </x:c>
      <x:c r="B14" s="52" t="n">
        <x:f>MAX('Beam Calc'!$K$70:$K$130)</x:f>
        <x:v>174.45213732894666</x:v>
      </x:c>
      <x:c r="C14" s="17" t="str">
        <x:v>MPa</x:v>
      </x:c>
      <x:c r="D14" s="17" t="str">
        <x:v>Calculated</x:v>
      </x:c>
      <x:c r="E14" s="17" t="str">
        <x:v>Nominal section stress with sweep, shear and torsion</x:v>
      </x:c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15" hidden="0" customHeight="1">
      <x:c r="A15" s="17" t="str">
        <x:v>ANSYS maximum VM stress</x:v>
      </x:c>
      <x:c r="B15" s="52" t="n">
        <x:f>Inputs!$B$63/1000000</x:f>
        <x:v>201.87</x:v>
      </x:c>
      <x:c r="C15" s="17" t="str">
        <x:v>MPa</x:v>
      </x:c>
      <x:c r="D15" s="17" t="str">
        <x:v>Observed</x:v>
      </x:c>
      <x:c r="E15" s="17" t="str">
        <x:v>FEA peak may include local/root concentration</x:v>
      </x:c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15" hidden="0" customHeight="1">
      <x:c r="A16" s="17" t="str">
        <x:v>Peak-stress difference</x:v>
      </x:c>
      <x:c r="B16" s="60" t="n">
        <x:f>ABS(B15-B14)/B14</x:f>
        <x:v>0.1571655302758158</x:v>
      </x:c>
      <x:c r="C16" s="17" t="str">
        <x:v>%</x:v>
      </x:c>
      <x:c r="D16" s="17" t="str">
        <x:v>Reference only</x:v>
      </x:c>
      <x:c r="E16" s="17" t="str">
        <x:v>Peak and nominal stress are reported separately, not used as the correlation gate</x:v>
      </x:c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 ht="15" hidden="0" customHeight="1">
      <x:c r="A17" s="17" t="str">
        <x:v>ANSYS yield factor of safety</x:v>
      </x:c>
      <x:c r="B17" s="47" t="n">
        <x:f>Inputs!$B$43/Inputs!$B$63</x:f>
        <x:v>2.0805468866101946</x:v>
      </x:c>
      <x:c r="C17" s="17" t="str">
        <x:v>—</x:v>
      </x:c>
      <x:c r="D17" s="17" t="str">
        <x:f>IF(B17&gt;=1,"Pass at 1g","Investigate")</x:f>
        <x:v>Pass at 1g</x:v>
      </x:c>
      <x:c r="E17" s="17" t="str">
        <x:v>Yield stress divided by the completed ANSYS peak VM</x:v>
      </x:c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15" hidden="0" customHeight="1">
      <x:c r="A18" s="17" t="str">
        <x:v>Hand-calculation yield FoS</x:v>
      </x:c>
      <x:c r="B18" s="47" t="n">
        <x:f>MIN('Beam Calc'!$L$70:$L$130)</x:f>
        <x:v>2.4075371413079836</x:v>
      </x:c>
      <x:c r="C18" s="17" t="str">
        <x:v>—</x:v>
      </x:c>
      <x:c r="D18" s="17" t="str">
        <x:f>IF(B18&gt;=1,"Pass at 1g","Investigate")</x:f>
        <x:v>Pass at 1g</x:v>
      </x:c>
      <x:c r="E18" s="17" t="str">
        <x:v>Minimum along the swept equivalent-beam model</x:v>
      </x:c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 ht="15" hidden="0" customHeight="1">
      <x:c r="A19" s="17" t="str">
        <x:v>Analytical shell-mass estimate</x:v>
      </x:c>
      <x:c r="B19" s="59" t="n">
        <x:f>Inputs!$B$52</x:f>
        <x:v>11906.881102358346</x:v>
      </x:c>
      <x:c r="C19" s="17" t="str">
        <x:v>kg</x:v>
      </x:c>
      <x:c r="D19" s="17" t="str">
        <x:v>Calculated</x:v>
      </x:c>
      <x:c r="E19" s="17" t="str">
        <x:v>Preliminary beam/load-model basis</x:v>
      </x:c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 ht="15" hidden="0" customHeight="1">
      <x:c r="A20" s="17" t="str">
        <x:v>Analytical 11% target mass</x:v>
      </x:c>
      <x:c r="B20" s="59" t="n">
        <x:f>Inputs!$B$59</x:f>
        <x:v>10597.124181098929</x:v>
      </x:c>
      <x:c r="C20" s="17" t="str">
        <x:v>kg</x:v>
      </x:c>
      <x:c r="D20" s="17" t="str">
        <x:v>Target</x:v>
      </x:c>
      <x:c r="E20" s="17" t="str">
        <x:v>Preliminary thickness-scaling sensitivity</x:v>
      </x:c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 ht="15" hidden="0" customHeight="1">
      <x:c r="A21" s="17" t="str">
        <x:v>ANSYS baseline shell mass</x:v>
      </x:c>
      <x:c r="B21" s="59" t="n">
        <x:f>Sizing!$B$13</x:f>
        <x:v>9679.1</x:v>
      </x:c>
      <x:c r="C21" s="17" t="str">
        <x:v>kg</x:v>
      </x:c>
      <x:c r="D21" s="17" t="str">
        <x:v>Observed</x:v>
      </x:c>
      <x:c r="E21" s="17" t="str">
        <x:v>Solved shell model</x:v>
      </x:c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 ht="15" hidden="0" customHeight="1">
      <x:c r="A22" s="17" t="str">
        <x:v>ANSYS reduced-thickness mass</x:v>
      </x:c>
      <x:c r="B22" s="59" t="n">
        <x:f>Sizing!$B$14</x:f>
        <x:v>8601</x:v>
      </x:c>
      <x:c r="C22" s="17" t="str">
        <x:v>kg</x:v>
      </x:c>
      <x:c r="D22" s="17" t="str">
        <x:v>Observed</x:v>
      </x:c>
      <x:c r="E22" s="17" t="str">
        <x:v>11.14% reduction; 1,078.1 kg saved</x:v>
      </x:c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 ht="15" hidden="0" customHeight="1">
      <x:c r="A23" s="74" t="str">
        <x:v>Conclusion</x:v>
      </x:c>
      <x:c r="B23" s="75"/>
      <x:c r="C23" s="75"/>
      <x:c r="D23" s="75"/>
      <x:c r="E23" s="76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 ht="15" hidden="0" customHeight="1">
      <x:c r="A24" s="68" t="str">
        <x:v>Supported now</x:v>
      </x:c>
      <x:c r="B24" s="69" t="str">
        <x:v>Total deformation is within the 8% structural-correlation target.</x:v>
      </x:c>
      <x:c r="C24" s="69"/>
      <x:c r="D24" s="69"/>
      <x:c r="E24" s="69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 ht="15" hidden="0" customHeight="1">
      <x:c r="A25" s="70" t="str">
        <x:v>Stress comparison</x:v>
      </x:c>
      <x:c r="B25" s="53" t="str">
        <x:v>Nominal beam VM and ANSYS peak VM are reported separately; use the ANSYS peak for the design check.</x:v>
      </x:c>
      <x:c r="C25" s="53"/>
      <x:c r="D25" s="53"/>
      <x:c r="E25" s="53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 ht="15" hidden="0" customHeight="1">
      <x:c r="A26" s="70" t="str">
        <x:v>ANSYS model</x:v>
      </x:c>
      <x:c r="B26" s="53" t="str">
        <x:v>No static-structural rerun is required for this hand-calculation correction.</x:v>
      </x:c>
      <x:c r="C26" s="53"/>
      <x:c r="D26" s="53"/>
      <x:c r="E26" s="53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 ht="15" hidden="0" customHeight="1">
      <x:c r="A27" s="70" t="str">
        <x:v>Buckling</x:v>
      </x:c>
      <x:c r="B27" s="53" t="str">
        <x:v>With λ1 = 0.45096 &lt; 1.0, the baseline model does not meet the selected linear-buckling screen at the applied reference load.</x:v>
      </x:c>
      <x:c r="C27" s="53"/>
      <x:c r="D27" s="53"/>
      <x:c r="E27" s="53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 ht="24" hidden="0" customHeight="1">
      <x:c r="A28" s="70" t="str">
        <x:v>Sizing status</x:v>
      </x:c>
      <x:c r="B28" s="53" t="str">
        <x:v>The solved 0.89-thickness case reduced ANSYS mass by 11.14%, but deformation exceeded the 3.0 m screen and the first buckling factor fell to 0.3562. Treat it as a trade study, not a final design.</x:v>
      </x:c>
      <x:c r="C28" s="53"/>
      <x:c r="D28" s="53"/>
      <x:c r="E28" s="53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 ht="15" hidden="0" customHeight="1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 ht="15" hidden="0" customHeight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 ht="15" hidden="0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 ht="15" hidden="0" customHeight="1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 ht="15" hidden="0" customHeight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 ht="15" hidden="0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 ht="15" hidden="0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 ht="15" hidden="0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 ht="15" hidden="0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 ht="15" hidden="0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 ht="15" hidden="0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 ht="15" hidden="0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 ht="15" hidden="0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 ht="15" hidden="0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 ht="15" hidden="0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 ht="15" hidden="0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 ht="15" hidden="0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 ht="15" hidden="0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 ht="15" hidden="0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 ht="15" hidden="0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 ht="15" hidden="0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 ht="15" hidden="0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 ht="15" hidden="0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 ht="15" hidden="0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 ht="15" hidden="0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 ht="15" hidden="0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 ht="15" hidden="0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 ht="15" hidden="0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 ht="15" hidden="0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 ht="15" hidden="0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 ht="15" hidden="0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 ht="15" hidden="0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 ht="15" hidden="0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 ht="15" hidden="0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 ht="15" hidden="0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 ht="15" hidden="0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 ht="15" hidden="0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 ht="15" hidden="0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 ht="15" hidden="0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 ht="15" hidden="0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 ht="15" hidden="0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 ht="15" hidden="0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 ht="15" hidden="0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 ht="15" hidden="0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 ht="15" hidden="0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 ht="15" hidden="0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 ht="15" hidden="0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 ht="15" hidden="0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 ht="15" hidden="0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 ht="15" hidden="0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 ht="15" hidden="0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 ht="15" hidden="0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 ht="15" hidden="0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 ht="15" hidden="0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 ht="15" hidden="0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 ht="15" hidden="0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 ht="15" hidden="0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 ht="15" hidden="0" customHeight="1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 ht="15" hidden="0" customHeight="1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 ht="15" hidden="0" customHeight="1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 ht="15" hidden="0" customHeight="1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 ht="15" hidden="0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 ht="15" hidden="0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 ht="15" hidden="0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 ht="15" hidden="0" customHeight="1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 ht="15" hidden="0" customHeight="1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 ht="15" hidden="0" customHeight="1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 ht="15" hidden="0" customHeight="1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 ht="15" hidden="0" customHeight="1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 ht="15" hidden="0" customHeight="1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 ht="15" hidden="0" customHeight="1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 ht="15" hidden="0" customHeight="1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 ht="15" hidden="0" customHeight="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 ht="15" hidden="0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 ht="15" hidden="0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 ht="15" hidden="0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 ht="15" hidden="0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 ht="15" hidden="0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 ht="15" hidden="0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 ht="15" hidden="0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 ht="15" hidden="0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 ht="15" hidden="0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 ht="15" hidden="0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 ht="15" hidden="0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 ht="15" hidden="0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 ht="15" hidden="0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 ht="15" hidden="0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 ht="15" hidden="0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 ht="15" hidden="0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 ht="15" hidden="0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 ht="15" hidden="0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 ht="15" hidden="0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 ht="15" hidden="0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 ht="15" hidden="0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 ht="15" hidden="0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 ht="15" hidden="0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 ht="15" hidden="0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 ht="15" hidden="0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 ht="15" hidden="0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 ht="15" hidden="0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 ht="15" hidden="0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 ht="15" hidden="0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 ht="15" hidden="0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 ht="15" hidden="0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 ht="15" hidden="0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 ht="15" hidden="0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 ht="15" hidden="0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 ht="15" hidden="0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 ht="15" hidden="0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 ht="15" hidden="0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 ht="15" hidden="0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 ht="15" hidden="0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 ht="15" hidden="0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 ht="15" hidden="0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 ht="15" hidden="0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 ht="15" hidden="0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 ht="15" hidden="0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 ht="15" hidden="0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 ht="15" hidden="0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 ht="15" hidden="0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 ht="15" hidden="0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 ht="15" hidden="0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 ht="15" hidden="0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 ht="15" hidden="0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 ht="15" hidden="0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 ht="15" hidden="0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 ht="15" hidden="0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 ht="15" hidden="0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 ht="15" hidden="0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 ht="15" hidden="0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 ht="15" hidden="0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 ht="15" hidden="0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 ht="15" hidden="0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 ht="15" hidden="0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 ht="15" hidden="0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 ht="15" hidden="0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 ht="15" hidden="0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 ht="15" hidden="0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 ht="15" hidden="0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 ht="15" hidden="0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 ht="15" hidden="0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 ht="15" hidden="0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 ht="15" hidden="0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 ht="15" hidden="0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 ht="15" hidden="0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 ht="15" hidden="0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 ht="15" hidden="0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 ht="15" hidden="0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 ht="15" hidden="0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 ht="15" hidden="0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 ht="15" hidden="0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 ht="15" hidden="0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 ht="15" hidden="0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 ht="15" hidden="0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 ht="15" hidden="0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 ht="15" hidden="0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 ht="15" hidden="0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 ht="15" hidden="0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 ht="15" hidden="0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 ht="15" hidden="0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 ht="15" hidden="0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 ht="15" hidden="0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 ht="15" hidden="0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 ht="15" hidden="0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 ht="15" hidden="0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 ht="15" hidden="0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 ht="15" hidden="0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 ht="15" hidden="0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 ht="15" hidden="0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 ht="15" hidden="0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 ht="15" hidden="0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 ht="15" hidden="0" customHeight="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 ht="15" hidden="0" customHeight="1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 ht="15" hidden="0" customHeight="1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 ht="15" hidden="0" customHeight="1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 ht="15" hidden="0" customHeight="1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 ht="15" hidden="0" customHeight="1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 ht="15" hidden="0" customHeight="1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 ht="15" hidden="0" customHeight="1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 ht="15" hidden="0" customHeight="1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 ht="15" hidden="0" customHeight="1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 ht="15" hidden="0" customHeight="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 ht="15" hidden="0" customHeight="1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 ht="15" hidden="0" customHeight="1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 ht="15" hidden="0" customHeight="1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 ht="15" hidden="0" customHeight="1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 ht="15" hidden="0" customHeight="1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 ht="15" hidden="0" customHeight="1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 ht="15" hidden="0" customHeight="1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 ht="15" hidden="0" customHeight="1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 ht="15" hidden="0" customHeight="1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</x:sheetData>
  <x:mergeCells>
    <x:mergeCell ref="A1:N1"/>
    <x:mergeCell ref="A2:N2"/>
    <x:mergeCell ref="A23:E23"/>
    <x:mergeCell ref="B24:E24"/>
    <x:mergeCell ref="B25:E25"/>
    <x:mergeCell ref="B26:E26"/>
    <x:mergeCell ref="B27:E27"/>
    <x:mergeCell ref="B28:E28"/>
  </x:mergeCells>
  <x:conditionalFormatting sqref="D5:D20">
    <x:cfRule type="containsText" dxfId="28" priority="1" operator="containsText" text="Pass"/>
    <x:cfRule type="containsText" dxfId="29" priority="2" operator="containsText" text="Within"/>
    <x:cfRule type="containsText" dxfId="30" priority="3" operator="containsText" text="Investigate"/>
    <x:cfRule type="containsText" dxfId="31" priority="4" operator="containsText" text="Outside"/>
    <x:cfRule type="containsText" dxfId="32" priority="5" operator="containsText" text="Missing"/>
    <x:cfRule type="containsText" dxfId="33" priority="6" operator="containsText" text="Run ANSYS"/>
    <x:cfRule type="containsText" dxfId="34" priority="7" operator="containsText" text="Screening"/>
  </x:conditionalFormatting>
  <x:pageMargins left="0.7" right="0.7" top="0.75" bottom="0.75" header="0.3" footer="0.3"/>
  <x:drawing xmlns:r="http://schemas.openxmlformats.org/officeDocument/2006/relationships" r:id="R3ea3a1eeb667445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8" hidden="0" customWidth="1"/>
    <x:col min="5" max="5" width="62" hidden="0" customWidth="1"/>
    <x:col min="6" max="6" width="18" hidden="0" customWidth="1"/>
  </x:cols>
  <x:sheetData>
    <x:row r="1" ht="32" hidden="0" customHeight="1">
      <x:c r="A1" s="73" t="str">
        <x:v>uCRM-9 ANSYS-aligned inputs</x:v>
      </x:c>
      <x:c r="B1" s="73"/>
      <x:c r="C1" s="73"/>
      <x:c r="D1" s="73"/>
      <x:c r="E1" s="73"/>
      <x:c r="F1" s="73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2" hidden="0" customHeight="1">
      <x:c r="A2" s="7" t="str">
        <x:v>Blue cells are extracted from the benchmark or completed ANSYS model. Yellow cells are editable assumptions.</x:v>
      </x:c>
      <x:c r="B2" s="7"/>
      <x:c r="C2" s="7"/>
      <x:c r="D2" s="7"/>
      <x:c r="E2" s="7"/>
      <x:c r="F2" s="7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 ht="15" hidden="0" customHeight="1">
      <x:c r="A3" s="12" t="str">
        <x:v>Parameter</x:v>
      </x:c>
      <x:c r="B3" s="12" t="str">
        <x:v>Value</x:v>
      </x:c>
      <x:c r="C3" s="12" t="str">
        <x:v>Unit</x:v>
      </x:c>
      <x:c r="D3" s="12" t="str">
        <x:v>Basis</x:v>
      </x:c>
      <x:c r="E3" s="12" t="str">
        <x:v>Source or note</x:v>
      </x:c>
      <x:c r="F3" s="12" t="str">
        <x:v>Input class</x:v>
      </x:c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 ht="15" hidden="0" customHeight="1">
      <x:c r="A4" s="77" t="str">
        <x:v>MODEL AND GEOMETRY</x:v>
      </x:c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15" hidden="0" customHeight="1">
      <x:c r="A5" s="17" t="str">
        <x:v>Model</x:v>
      </x:c>
      <x:c r="B5" s="19" t="str">
        <x:v>uCRM-9 coarse wingbox</x:v>
      </x:c>
      <x:c r="C5" s="17" t="str">
        <x:v>—</x:v>
      </x:c>
      <x:c r="D5" s="17" t="str">
        <x:v>Public benchmark</x:v>
      </x:c>
      <x:c r="E5" s="17" t="str">
        <x:v>Imported model identified from geometry and 844-node root constraint set</x:v>
      </x:c>
      <x:c r="F5" s="17" t="str">
        <x:v>Source</x:v>
      </x:c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15" hidden="0" customHeight="1">
      <x:c r="A6" s="17" t="str">
        <x:v>Structural grid count</x:v>
      </x:c>
      <x:c r="B6" s="19" t="n">
        <x:v>23738</x:v>
      </x:c>
      <x:c r="C6" s="17" t="str">
        <x:v>nodes</x:v>
      </x:c>
      <x:c r="D6" s="17" t="str">
        <x:v>BDF count</x:v>
      </x:c>
      <x:c r="E6" s="17" t="str">
        <x:v>uCRM-9_wingbox_coarse.bdf</x:v>
      </x:c>
      <x:c r="F6" s="17" t="str">
        <x:v>Source</x:v>
      </x:c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15" hidden="0" customHeight="1">
      <x:c r="A7" s="17" t="str">
        <x:v>Shell element count</x:v>
      </x:c>
      <x:c r="B7" s="20" t="n">
        <x:v>25055</x:v>
      </x:c>
      <x:c r="C7" s="17" t="str">
        <x:v>elements</x:v>
      </x:c>
      <x:c r="D7" s="17" t="str">
        <x:v>BDF count</x:v>
      </x:c>
      <x:c r="E7" s="17" t="str">
        <x:v>CQUADR cards</x:v>
      </x:c>
      <x:c r="F7" s="17" t="str">
        <x:v>Source</x:v>
      </x:c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15" hidden="0" customHeight="1">
      <x:c r="A8" s="17" t="str">
        <x:v>PSHELL property count</x:v>
      </x:c>
      <x:c r="B8" s="20" t="n">
        <x:v>242</x:v>
      </x:c>
      <x:c r="C8" s="17" t="str">
        <x:v>properties</x:v>
      </x:c>
      <x:c r="D8" s="17" t="str">
        <x:v>BDF count</x:v>
      </x:c>
      <x:c r="E8" s="17" t="str">
        <x:v>Smeared blade-stiffened panels</x:v>
      </x:c>
      <x:c r="F8" s="17" t="str">
        <x:v>Source</x:v>
      </x:c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15" hidden="0" customHeight="1">
      <x:c r="A9" s="17" t="str">
        <x:v>Semi-span</x:v>
      </x:c>
      <x:c r="B9" s="20" t="n">
        <x:v>29.380513849000003</x:v>
      </x:c>
      <x:c r="C9" s="17" t="str">
        <x:v>m</x:v>
      </x:c>
      <x:c r="D9" s="17" t="str">
        <x:v>BDF geometry</x:v>
      </x:c>
      <x:c r="E9" s="17" t="str">
        <x:v>Maximum minus minimum span coordinate</x:v>
      </x:c>
      <x:c r="F9" s="17" t="str">
        <x:v>Source</x:v>
      </x:c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15" hidden="0" customHeight="1">
      <x:c r="A10" s="17" t="str">
        <x:v>Aspect ratio</x:v>
      </x:c>
      <x:c r="B10" s="20" t="n">
        <x:v>9</x:v>
      </x:c>
      <x:c r="C10" s="17" t="str">
        <x:v>—</x:v>
      </x:c>
      <x:c r="D10" s="17" t="str">
        <x:v>Published geometry</x:v>
      </x:c>
      <x:c r="E10" s="17" t="str">
        <x:v>uCRM-9</x:v>
      </x:c>
      <x:c r="F10" s="17" t="str">
        <x:v>Source</x:v>
      </x:c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15" hidden="0" customHeight="1">
      <x:c r="A11" s="17" t="str">
        <x:v>Reference area</x:v>
      </x:c>
      <x:c r="B11" s="24" t="n">
        <x:v>383.74</x:v>
      </x:c>
      <x:c r="C11" s="17" t="str">
        <x:v>m²</x:v>
      </x:c>
      <x:c r="D11" s="17" t="str">
        <x:v>Published geometry</x:v>
      </x:c>
      <x:c r="E11" s="17" t="str">
        <x:v>Wimpress reference area</x:v>
      </x:c>
      <x:c r="F11" s="17" t="str">
        <x:v>Source</x:v>
      </x:c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15" hidden="0" customHeight="1">
      <x:c r="A12" s="17" t="str">
        <x:v>Exposed wing area</x:v>
      </x:c>
      <x:c r="B12" s="24" t="n">
        <x:v>337.05</x:v>
      </x:c>
      <x:c r="C12" s="17" t="str">
        <x:v>m²</x:v>
      </x:c>
      <x:c r="D12" s="17" t="str">
        <x:v>Published geometry</x:v>
      </x:c>
      <x:c r="E12" s="17" t="str">
        <x:v>Exposed planform area</x:v>
      </x:c>
      <x:c r="F12" s="17" t="str">
        <x:v>Source</x:v>
      </x:c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15" hidden="0" customHeight="1">
      <x:c r="A13" s="17" t="str">
        <x:v>Quarter-chord sweep</x:v>
      </x:c>
      <x:c r="B13" s="20" t="n">
        <x:v>35</x:v>
      </x:c>
      <x:c r="C13" s="17" t="str">
        <x:v>deg</x:v>
      </x:c>
      <x:c r="D13" s="17" t="str">
        <x:v>Published geometry</x:v>
      </x:c>
      <x:c r="E13" s="17" t="str">
        <x:v>uCRM-9 planform</x:v>
      </x:c>
      <x:c r="F13" s="17" t="str">
        <x:v>Source</x:v>
      </x:c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15" hidden="0" customHeight="1">
      <x:c r="A14" s="17" t="str">
        <x:v>Side-of-body chord</x:v>
      </x:c>
      <x:c r="B14" s="20" t="n">
        <x:v>11.92</x:v>
      </x:c>
      <x:c r="C14" s="17" t="str">
        <x:v>m</x:v>
      </x:c>
      <x:c r="D14" s="17" t="str">
        <x:v>Published geometry</x:v>
      </x:c>
      <x:c r="E14" s="17" t="str">
        <x:v>uCRM-9 planform</x:v>
      </x:c>
      <x:c r="F14" s="17" t="str">
        <x:v>Source</x:v>
      </x:c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15" hidden="0" customHeight="1">
      <x:c r="A15" s="17" t="str">
        <x:v>Tip chord</x:v>
      </x:c>
      <x:c r="B15" s="20" t="n">
        <x:v>2.736</x:v>
      </x:c>
      <x:c r="C15" s="17" t="str">
        <x:v>m</x:v>
      </x:c>
      <x:c r="D15" s="17" t="str">
        <x:v>Published geometry</x:v>
      </x:c>
      <x:c r="E15" s="17" t="str">
        <x:v>uCRM-9 planform</x:v>
      </x:c>
      <x:c r="F15" s="17" t="str">
        <x:v>Source</x:v>
      </x:c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15" hidden="0" customHeight="1">
      <x:c r="A16" s="17" t="str">
        <x:v>Front spar location, root</x:v>
      </x:c>
      <x:c r="B16" s="22" t="n">
        <x:v>0.1</x:v>
      </x:c>
      <x:c r="C16" s="17" t="str">
        <x:v>x/c</x:v>
      </x:c>
      <x:c r="D16" s="17" t="str">
        <x:v>Published model</x:v>
      </x:c>
      <x:c r="E16" s="17" t="str">
        <x:v>Moves to 35% chord at tip</x:v>
      </x:c>
      <x:c r="F16" s="17" t="str">
        <x:v>Source</x:v>
      </x:c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 ht="15" hidden="0" customHeight="1">
      <x:c r="A17" s="17" t="str">
        <x:v>Rear spar location</x:v>
      </x:c>
      <x:c r="B17" s="22" t="n">
        <x:v>0.6</x:v>
      </x:c>
      <x:c r="C17" s="17" t="str">
        <x:v>x/c</x:v>
      </x:c>
      <x:c r="D17" s="17" t="str">
        <x:v>Published model</x:v>
      </x:c>
      <x:c r="E17" s="17" t="str">
        <x:v>Constant from root to tip</x:v>
      </x:c>
      <x:c r="F17" s="17" t="str">
        <x:v>Source</x:v>
      </x:c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15" hidden="0" customHeight="1">
      <x:c r="A18" s="17" t="str">
        <x:v>Root constrained nodes</x:v>
      </x:c>
      <x:c r="B18" s="25" t="n">
        <x:v>844</x:v>
      </x:c>
      <x:c r="C18" s="17" t="str">
        <x:v>nodes</x:v>
      </x:c>
      <x:c r="D18" s="17" t="str">
        <x:v>ANSYS screenshot</x:v>
      </x:c>
      <x:c r="E18" s="17" t="str">
        <x:v>UX = UY = UZ = 0</x:v>
      </x:c>
      <x:c r="F18" s="17" t="str">
        <x:v>Observed</x:v>
      </x:c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 ht="15" hidden="0" customHeight="1">
      <x:c r="A19" s="17" t="str">
        <x:v>Surface-load entries</x:v>
      </x:c>
      <x:c r="B19" s="25" t="n">
        <x:v>5981</x:v>
      </x:c>
      <x:c r="C19" s="17" t="str">
        <x:v>entries</x:v>
      </x:c>
      <x:c r="D19" s="17" t="str">
        <x:v>ANSYS screenshot</x:v>
      </x:c>
      <x:c r="E19" s="17" t="str">
        <x:v>Active baseline load representation</x:v>
      </x:c>
      <x:c r="F19" s="17" t="str">
        <x:v>Observed</x:v>
      </x:c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 ht="15" hidden="0" customHeight="1">
      <x:c r="A20" s="17" t="str"/>
      <x:c r="B20" s="19"/>
      <x:c r="C20" s="17"/>
      <x:c r="D20" s="17"/>
      <x:c r="E20" s="17"/>
      <x:c r="F20" s="17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 ht="15" hidden="0" customHeight="1">
      <x:c r="A21" s="18" t="str">
        <x:v>FLIGHT CONDITION AND LIFT CHECK</x:v>
      </x:c>
      <x:c r="B21" s="19"/>
      <x:c r="C21" s="17"/>
      <x:c r="D21" s="17"/>
      <x:c r="E21" s="17"/>
      <x:c r="F21" s="17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 ht="15" hidden="0" customHeight="1">
      <x:c r="A22" s="17" t="str">
        <x:v>Mach number</x:v>
      </x:c>
      <x:c r="B22" s="20" t="n">
        <x:v>0.85</x:v>
      </x:c>
      <x:c r="C22" s="17" t="str">
        <x:v>—</x:v>
      </x:c>
      <x:c r="D22" s="17" t="str">
        <x:v>Nominal cruise</x:v>
      </x:c>
      <x:c r="E22" s="17" t="str">
        <x:v>uCRM definition</x:v>
      </x:c>
      <x:c r="F22" s="17" t="str">
        <x:v>Source</x:v>
      </x:c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 ht="15" hidden="0" customHeight="1">
      <x:c r="A23" s="17" t="str">
        <x:v>Altitude</x:v>
      </x:c>
      <x:c r="B23" s="20" t="n">
        <x:v>37000</x:v>
      </x:c>
      <x:c r="C23" s="17" t="str">
        <x:v>ft</x:v>
      </x:c>
      <x:c r="D23" s="17" t="str">
        <x:v>Nominal cruise</x:v>
      </x:c>
      <x:c r="E23" s="17" t="str">
        <x:v>uCRM definition</x:v>
      </x:c>
      <x:c r="F23" s="17" t="str">
        <x:v>Source</x:v>
      </x:c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 ht="15" hidden="0" customHeight="1">
      <x:c r="A24" s="17" t="str">
        <x:v>Altitude</x:v>
      </x:c>
      <x:c r="B24" s="20" t="n">
        <x:f>B23*0.3048</x:f>
        <x:v>11277.6</x:v>
      </x:c>
      <x:c r="C24" s="17" t="str">
        <x:v>m</x:v>
      </x:c>
      <x:c r="D24" s="17" t="str">
        <x:v>Unit conversion</x:v>
      </x:c>
      <x:c r="E24" s="17" t="str">
        <x:v>= altitude ft × 0.3048</x:v>
      </x:c>
      <x:c r="F24" s="17" t="str">
        <x:v>Formula</x:v>
      </x:c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 ht="15" hidden="0" customHeight="1">
      <x:c r="A25" s="17" t="str">
        <x:v>Static temperature</x:v>
      </x:c>
      <x:c r="B25" s="20" t="n">
        <x:v>216.65</x:v>
      </x:c>
      <x:c r="C25" s="17" t="str">
        <x:v>K</x:v>
      </x:c>
      <x:c r="D25" s="17" t="str">
        <x:v>1976 standard-atmosphere equation</x:v>
      </x:c>
      <x:c r="E25" s="17" t="str">
        <x:v>Isothermal layer above 11 km</x:v>
      </x:c>
      <x:c r="F25" s="17" t="str">
        <x:v>Calculated source</x:v>
      </x:c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 ht="15" hidden="0" customHeight="1">
      <x:c r="A26" s="17" t="str">
        <x:v>Static pressure</x:v>
      </x:c>
      <x:c r="B26" s="20" t="n">
        <x:v>21662.708312499468</x:v>
      </x:c>
      <x:c r="C26" s="17" t="str">
        <x:v>Pa</x:v>
      </x:c>
      <x:c r="D26" s="17" t="str">
        <x:v>1976 standard-atmosphere equation</x:v>
      </x:c>
      <x:c r="E26" s="17" t="str">
        <x:v>At 37,000 ft</x:v>
      </x:c>
      <x:c r="F26" s="17" t="str">
        <x:v>Calculated source</x:v>
      </x:c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 ht="15" hidden="0" customHeight="1">
      <x:c r="A27" s="17" t="str">
        <x:v>Air density</x:v>
      </x:c>
      <x:c r="B27" s="26" t="n">
        <x:v>0.34833103102953583</x:v>
      </x:c>
      <x:c r="C27" s="17" t="str">
        <x:v>kg/m³</x:v>
      </x:c>
      <x:c r="D27" s="17" t="str">
        <x:v>p/(RT)</x:v>
      </x:c>
      <x:c r="E27" s="17" t="str">
        <x:v>At 37,000 ft</x:v>
      </x:c>
      <x:c r="F27" s="17" t="str">
        <x:v>Calculated source</x:v>
      </x:c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 ht="15" hidden="0" customHeight="1">
      <x:c r="A28" s="17" t="str">
        <x:v>Speed of sound</x:v>
      </x:c>
      <x:c r="B28" s="26" t="n">
        <x:v>295.0694935090715</x:v>
      </x:c>
      <x:c r="C28" s="17" t="str">
        <x:v>m/s</x:v>
      </x:c>
      <x:c r="D28" s="17" t="str">
        <x:v>sqrt(γRT)</x:v>
      </x:c>
      <x:c r="E28" s="17" t="str">
        <x:v>γ = 1.4</x:v>
      </x:c>
      <x:c r="F28" s="17" t="str">
        <x:v>Calculated source</x:v>
      </x:c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 ht="15" hidden="0" customHeight="1">
      <x:c r="A29" s="17" t="str">
        <x:v>True airspeed</x:v>
      </x:c>
      <x:c r="B29" s="26" t="n">
        <x:f>B22*B28</x:f>
        <x:v>250.80906948271075</x:v>
      </x:c>
      <x:c r="C29" s="17" t="str">
        <x:v>m/s</x:v>
      </x:c>
      <x:c r="D29" s="17" t="str">
        <x:v>M a</x:v>
      </x:c>
      <x:c r="E29" s="17" t="str">
        <x:v>Formula</x:v>
      </x:c>
      <x:c r="F29" s="17" t="str">
        <x:v>Formula</x:v>
      </x:c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 ht="15" hidden="0" customHeight="1">
      <x:c r="A30" s="17" t="str">
        <x:v>Dynamic pressure</x:v>
      </x:c>
      <x:c r="B30" s="26" t="n">
        <x:f>0.5*B27*B29^2</x:f>
        <x:v>10955.914729046603</x:v>
      </x:c>
      <x:c r="C30" s="17" t="str">
        <x:v>Pa</x:v>
      </x:c>
      <x:c r="D30" s="17" t="str">
        <x:v>½ρV²</x:v>
      </x:c>
      <x:c r="E30" s="17" t="str">
        <x:v>Formula</x:v>
      </x:c>
      <x:c r="F30" s="17" t="str">
        <x:v>Formula</x:v>
      </x:c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 ht="15" hidden="0" customHeight="1">
      <x:c r="A31" s="17" t="str">
        <x:v>Lift coefficient</x:v>
      </x:c>
      <x:c r="B31" s="20" t="n">
        <x:v>0.5</x:v>
      </x:c>
      <x:c r="C31" s="17" t="str">
        <x:v>—</x:v>
      </x:c>
      <x:c r="D31" s="17" t="str">
        <x:v>Nominal cruise</x:v>
      </x:c>
      <x:c r="E31" s="17" t="str">
        <x:v>uCRM definition</x:v>
      </x:c>
      <x:c r="F31" s="17" t="str">
        <x:v>Source</x:v>
      </x:c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 ht="15" hidden="0" customHeight="1">
      <x:c r="A32" s="17" t="str">
        <x:v>Full-aircraft lift</x:v>
      </x:c>
      <x:c r="B32" s="25" t="n">
        <x:f>B30*B11*B31</x:f>
        <x:v>2102111.3590621715</x:v>
      </x:c>
      <x:c r="C32" s="17" t="str">
        <x:v>N</x:v>
      </x:c>
      <x:c r="D32" s="17" t="str">
        <x:v>q S CL</x:v>
      </x:c>
      <x:c r="E32" s="17" t="str">
        <x:v>Formula</x:v>
      </x:c>
      <x:c r="F32" s="17" t="str">
        <x:v>Formula</x:v>
      </x:c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 ht="15" hidden="0" customHeight="1">
      <x:c r="A33" s="17" t="str">
        <x:v>Half-aircraft lift</x:v>
      </x:c>
      <x:c r="B33" s="25" t="n">
        <x:f>B32/2</x:f>
        <x:v>1051055.6795310858</x:v>
      </x:c>
      <x:c r="C33" s="17" t="str">
        <x:v>N</x:v>
      </x:c>
      <x:c r="D33" s="17" t="str">
        <x:v>½ q S CL</x:v>
      </x:c>
      <x:c r="E33" s="17" t="str">
        <x:v>Formula</x:v>
      </x:c>
      <x:c r="F33" s="17" t="str">
        <x:v>Formula</x:v>
      </x:c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 ht="15" hidden="0" customHeight="1">
      <x:c r="A34" s="17" t="str">
        <x:v>BDF aerodynamic vertical force</x:v>
      </x:c>
      <x:c r="B34" s="25" t="n">
        <x:v>967010.71830914</x:v>
      </x:c>
      <x:c r="C34" s="17" t="str">
        <x:v>N</x:v>
      </x:c>
      <x:c r="D34" s="17" t="str">
        <x:v>Sum of 13,586 FORCE cards</x:v>
      </x:c>
      <x:c r="E34" s="17" t="str">
        <x:v>Positive global Z</x:v>
      </x:c>
      <x:c r="F34" s="17" t="str">
        <x:v>Calculated source</x:v>
      </x:c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 ht="15" hidden="0" customHeight="1">
      <x:c r="A35" s="17" t="str">
        <x:v>Lift-equation difference</x:v>
      </x:c>
      <x:c r="B35" s="22" t="n">
        <x:f>ABS(B34-B33)/B33</x:f>
        <x:v>0.07996242526318048</x:v>
      </x:c>
      <x:c r="C35" s="17" t="str">
        <x:v>%</x:v>
      </x:c>
      <x:c r="D35" s="17" t="str">
        <x:v>|BDF − qSCL/2| ÷ (qSCL/2)</x:v>
      </x:c>
      <x:c r="E35" s="17" t="str">
        <x:v>Formula</x:v>
      </x:c>
      <x:c r="F35" s="17" t="str">
        <x:v>Formula</x:v>
      </x:c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 ht="15" hidden="0" customHeight="1">
      <x:c r="A36" s="17" t="str">
        <x:v>Correlation threshold</x:v>
      </x:c>
      <x:c r="B36" s="22" t="n">
        <x:v>0.08</x:v>
      </x:c>
      <x:c r="C36" s="17" t="str">
        <x:v>%</x:v>
      </x:c>
      <x:c r="D36" s="17" t="str">
        <x:v>CV screening threshold</x:v>
      </x:c>
      <x:c r="E36" s="17" t="str">
        <x:v>Editable</x:v>
      </x:c>
      <x:c r="F36" s="17" t="str">
        <x:v>Assumption</x:v>
      </x:c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 ht="15" hidden="0" customHeight="1">
      <x:c r="A37" s="17" t="str">
        <x:v>Lift check</x:v>
      </x:c>
      <x:c r="B37" s="20" t="str">
        <x:f>IF(B35&lt;=B36,"Within threshold","Outside threshold")</x:f>
        <x:v>Within threshold</x:v>
      </x:c>
      <x:c r="C37" s="17" t="str">
        <x:v>—</x:v>
      </x:c>
      <x:c r="D37" s="17" t="str">
        <x:v>Compare difference with threshold</x:v>
      </x:c>
      <x:c r="E37" s="17" t="str">
        <x:v>Formula</x:v>
      </x:c>
      <x:c r="F37" s="17" t="str">
        <x:v>Formula</x:v>
      </x:c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 ht="15" hidden="0" customHeight="1">
      <x:c r="A38" s="17" t="str"/>
      <x:c r="B38" s="19"/>
      <x:c r="C38" s="17"/>
      <x:c r="D38" s="17"/>
      <x:c r="E38" s="17"/>
      <x:c r="F38" s="17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 ht="15" hidden="0" customHeight="1">
      <x:c r="A39" s="18" t="str">
        <x:v>MATERIAL AND ANALYSIS CONTROLS</x:v>
      </x:c>
      <x:c r="B39" s="19"/>
      <x:c r="C39" s="17"/>
      <x:c r="D39" s="17"/>
      <x:c r="E39" s="17"/>
      <x:c r="F39" s="17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 ht="15" hidden="0" customHeight="1">
      <x:c r="A40" s="17" t="str">
        <x:v>Young's modulus</x:v>
      </x:c>
      <x:c r="B40" s="27" t="n">
        <x:v>68948000000</x:v>
      </x:c>
      <x:c r="C40" s="17" t="str">
        <x:v>Pa</x:v>
      </x:c>
      <x:c r="D40" s="17" t="str">
        <x:v>Current ANSYS material</x:v>
      </x:c>
      <x:c r="E40" s="17" t="str">
        <x:v>Matched to the completed ANSYS model</x:v>
      </x:c>
      <x:c r="F40" s="17" t="str">
        <x:v>Observed</x:v>
      </x:c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 ht="15" hidden="0" customHeight="1">
      <x:c r="A41" s="17" t="str">
        <x:v>Poisson's ratio</x:v>
      </x:c>
      <x:c r="B41" s="27" t="n">
        <x:v>0.32</x:v>
      </x:c>
      <x:c r="C41" s="17" t="str">
        <x:v>—</x:v>
      </x:c>
      <x:c r="D41" s="17" t="str">
        <x:v>Current ANSYS material</x:v>
      </x:c>
      <x:c r="E41" s="17" t="str">
        <x:v>Matched to the completed ANSYS model</x:v>
      </x:c>
      <x:c r="F41" s="17" t="str">
        <x:v>Observed</x:v>
      </x:c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 ht="15" hidden="0" customHeight="1">
      <x:c r="A42" s="17" t="str">
        <x:v>Density</x:v>
      </x:c>
      <x:c r="B42" s="27" t="n">
        <x:v>2768</x:v>
      </x:c>
      <x:c r="C42" s="17" t="str">
        <x:v>kg/m³</x:v>
      </x:c>
      <x:c r="D42" s="17" t="str">
        <x:v>Current ANSYS material</x:v>
      </x:c>
      <x:c r="E42" s="17" t="str">
        <x:v>Matched to the completed ANSYS model</x:v>
      </x:c>
      <x:c r="F42" s="17" t="str">
        <x:v>Observed</x:v>
      </x:c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 ht="15" hidden="0" customHeight="1">
      <x:c r="A43" s="17" t="str">
        <x:v>Yield stress</x:v>
      </x:c>
      <x:c r="B43" s="27" t="n">
        <x:v>420000000</x:v>
      </x:c>
      <x:c r="C43" s="17" t="str">
        <x:v>Pa</x:v>
      </x:c>
      <x:c r="D43" s="17" t="str">
        <x:v>Screening allowable</x:v>
      </x:c>
      <x:c r="E43" s="17" t="str">
        <x:v>Used only for the yield factor-of-safety screen</x:v>
      </x:c>
      <x:c r="F43" s="17" t="str">
        <x:v>Assumption</x:v>
      </x:c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 ht="15" hidden="0" customHeight="1">
      <x:c r="A44" s="17" t="str">
        <x:v>Gravity</x:v>
      </x:c>
      <x:c r="B44" s="21" t="n">
        <x:v>9.81</x:v>
      </x:c>
      <x:c r="C44" s="17" t="str">
        <x:v>m/s²</x:v>
      </x:c>
      <x:c r="D44" s="17" t="str">
        <x:v>Official run deck</x:v>
      </x:c>
      <x:c r="E44" s="17" t="str">
        <x:v>GRAV load</x:v>
      </x:c>
      <x:c r="F44" s="17" t="str">
        <x:v>Source</x:v>
      </x:c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 ht="15" hidden="0" customHeight="1">
      <x:c r="A45" s="17" t="str">
        <x:v>Beam load scale</x:v>
      </x:c>
      <x:c r="B45" s="21" t="n">
        <x:v>1</x:v>
      </x:c>
      <x:c r="C45" s="17" t="str">
        <x:v>—</x:v>
      </x:c>
      <x:c r="D45" s="17" t="str">
        <x:v>Nominal baseline</x:v>
      </x:c>
      <x:c r="E45" s="17" t="str">
        <x:v>Set to 2.5 only for a linear screening case</x:v>
      </x:c>
      <x:c r="F45" s="17" t="str">
        <x:v>Assumption</x:v>
      </x:c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 ht="15" hidden="0" customHeight="1">
      <x:c r="A46" s="17" t="str">
        <x:v>Positive limit-load factor</x:v>
      </x:c>
      <x:c r="B46" s="21" t="n">
        <x:v>2.5</x:v>
      </x:c>
      <x:c r="C46" s="17" t="str">
        <x:v>g</x:v>
      </x:c>
      <x:c r="D46" s="17" t="str">
        <x:v>Published uCRM sizing case</x:v>
      </x:c>
      <x:c r="E46" s="17" t="str">
        <x:v>Screening input; not a certification analysis</x:v>
      </x:c>
      <x:c r="F46" s="17" t="str">
        <x:v>Assumption</x:v>
      </x:c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 ht="15" hidden="0" customHeight="1">
      <x:c r="A47" s="17" t="str">
        <x:v>Effective bending stiffness factor</x:v>
      </x:c>
      <x:c r="B47" s="32" t="n">
        <x:v>0.9</x:v>
      </x:c>
      <x:c r="C47" s="17" t="str">
        <x:v>—</x:v>
      </x:c>
      <x:c r="D47" s="17" t="str">
        <x:v>Equivalent-beam assumption</x:v>
      </x:c>
      <x:c r="E47" s="17" t="str">
        <x:v>10% allowance for shear lag and local shell flexibility</x:v>
      </x:c>
      <x:c r="F47" s="17" t="str">
        <x:v>Assumption</x:v>
      </x:c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 ht="15" hidden="0" customHeight="1">
      <x:c r="A48" s="17" t="str">
        <x:v>Structural correlation threshold</x:v>
      </x:c>
      <x:c r="B48" s="32" t="n">
        <x:v>0.08</x:v>
      </x:c>
      <x:c r="C48" s="17" t="str">
        <x:v>%</x:v>
      </x:c>
      <x:c r="D48" s="17" t="str">
        <x:v>Target</x:v>
      </x:c>
      <x:c r="E48" s="17" t="str">
        <x:v>Do not claim until like-for-like quantities pass</x:v>
      </x:c>
      <x:c r="F48" s="17" t="str">
        <x:v>Assumption</x:v>
      </x:c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 ht="15" hidden="0" customHeight="1">
      <x:c r="A49" s="17" t="str">
        <x:v>Deflection limit</x:v>
      </x:c>
      <x:c r="B49" s="32" t="n">
        <x:v>3</x:v>
      </x:c>
      <x:c r="C49" s="17" t="str">
        <x:v>m</x:v>
      </x:c>
      <x:c r="D49" s="17" t="str">
        <x:v>Project screening criterion</x:v>
      </x:c>
      <x:c r="E49" s="17" t="str">
        <x:v>Editable; not a certification limit</x:v>
      </x:c>
      <x:c r="F49" s="17" t="str">
        <x:v>Assumption</x:v>
      </x:c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 ht="15" hidden="0" customHeight="1">
      <x:c r="A50" s="17" t="str">
        <x:v>Shear correction factor</x:v>
      </x:c>
      <x:c r="B50" s="79" t="n">
        <x:v>0.8333333333333334</x:v>
      </x:c>
      <x:c r="C50" s="17" t="str">
        <x:v>—</x:v>
      </x:c>
      <x:c r="D50" s="17" t="str">
        <x:v>Timoshenko beam</x:v>
      </x:c>
      <x:c r="E50" s="17" t="str">
        <x:v>Average web-shear deformation factor k = 5/6</x:v>
      </x:c>
      <x:c r="F50" s="17" t="str">
        <x:v>Assumption</x:v>
      </x:c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 ht="15" hidden="0" customHeight="1">
      <x:c r="A51" s="18" t="str">
        <x:v>MASS BUILD-UP</x:v>
      </x:c>
      <x:c r="B51" s="19"/>
      <x:c r="C51" s="17"/>
      <x:c r="D51" s="17"/>
      <x:c r="E51" s="17"/>
      <x:c r="F51" s="17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 ht="15" hidden="0" customHeight="1">
      <x:c r="A52" s="17" t="str">
        <x:v>Analytical wingbox shell-mass estimate</x:v>
      </x:c>
      <x:c r="B52" s="28" t="n">
        <x:f>11958.500529102674*B42/2780</x:f>
        <x:v>11906.881102358346</x:v>
      </x:c>
      <x:c r="C52" s="17" t="str">
        <x:v>kg</x:v>
      </x:c>
      <x:c r="D52" s="17" t="str">
        <x:v>Shell volume × reference density</x:v>
      </x:c>
      <x:c r="E52" s="17" t="str">
        <x:v>Preliminary beam/load-model basis; not the solved ANSYS mass</x:v>
      </x:c>
      <x:c r="F52" s="17" t="str">
        <x:v>Calculated source</x:v>
      </x:c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 ht="15" hidden="0" customHeight="1">
      <x:c r="A53" s="17" t="str">
        <x:v>Leading/trailing-edge mass</x:v>
      </x:c>
      <x:c r="B53" s="28" t="n">
        <x:v>3669</x:v>
      </x:c>
      <x:c r="C53" s="17" t="str">
        <x:v>kg</x:v>
      </x:c>
      <x:c r="D53" s="17" t="str">
        <x:v>CONM2 sum</x:v>
      </x:c>
      <x:c r="E53" s="17" t="str">
        <x:v>Half wing</x:v>
      </x:c>
      <x:c r="F53" s="17" t="str">
        <x:v>Calculated source</x:v>
      </x:c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 ht="15" hidden="0" customHeight="1">
      <x:c r="A54" s="17" t="str">
        <x:v>Engine mass</x:v>
      </x:c>
      <x:c r="B54" s="28" t="n">
        <x:v>7501</x:v>
      </x:c>
      <x:c r="C54" s="17" t="str">
        <x:v>kg</x:v>
      </x:c>
      <x:c r="D54" s="17" t="str">
        <x:v>CONM2 sum</x:v>
      </x:c>
      <x:c r="E54" s="17" t="str">
        <x:v>13 × 577 kg ≈ 7,500 kg</x:v>
      </x:c>
      <x:c r="F54" s="17" t="str">
        <x:v>Calculated source</x:v>
      </x:c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 ht="15" hidden="0" customHeight="1">
      <x:c r="A55" s="17" t="str">
        <x:v>20% fuel mass</x:v>
      </x:c>
      <x:c r="B55" s="28" t="n">
        <x:v>11000.002</x:v>
      </x:c>
      <x:c r="C55" s="17" t="str">
        <x:v>kg</x:v>
      </x:c>
      <x:c r="D55" s="17" t="str">
        <x:v>CONM2 sum</x:v>
      </x:c>
      <x:c r="E55" s="17" t="str">
        <x:v>20% of 55,000 kg half-wing capacity</x:v>
      </x:c>
      <x:c r="F55" s="17" t="str">
        <x:v>Calculated source</x:v>
      </x:c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 ht="15" hidden="0" customHeight="1">
      <x:c r="A56" s="17" t="str">
        <x:v>Total included half-wing mass</x:v>
      </x:c>
      <x:c r="B56" s="28" t="n">
        <x:f>SUM(B52:B55)</x:f>
        <x:v>34076.88310235835</x:v>
      </x:c>
      <x:c r="C56" s="17" t="str">
        <x:v>kg</x:v>
      </x:c>
      <x:c r="D56" s="17" t="str">
        <x:v>Mass sum</x:v>
      </x:c>
      <x:c r="E56" s="17" t="str">
        <x:v>Formula</x:v>
      </x:c>
      <x:c r="F56" s="17" t="str">
        <x:v>Formula</x:v>
      </x:c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 ht="15" hidden="0" customHeight="1">
      <x:c r="A57" s="17" t="str">
        <x:v>Two-wing analytical shell-mass estimate</x:v>
      </x:c>
      <x:c r="B57" s="28" t="n">
        <x:f>2*B52</x:f>
        <x:v>23813.76220471669</x:v>
      </x:c>
      <x:c r="C57" s="17" t="str">
        <x:v>kg</x:v>
      </x:c>
      <x:c r="D57" s="17" t="str">
        <x:v>2 × analytical shell-mass estimate</x:v>
      </x:c>
      <x:c r="E57" s="17" t="str">
        <x:v>Preliminary estimate based on the retained shell volume</x:v>
      </x:c>
      <x:c r="F57" s="17" t="str">
        <x:v>Formula</x:v>
      </x:c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 ht="15" hidden="0" customHeight="1">
      <x:c r="A58" s="17" t="str">
        <x:v>Target mass reduction</x:v>
      </x:c>
      <x:c r="B58" s="22" t="n">
        <x:v>0.11</x:v>
      </x:c>
      <x:c r="C58" s="17" t="str">
        <x:v>%</x:v>
      </x:c>
      <x:c r="D58" s="17" t="str">
        <x:v>Project mass-reduction target</x:v>
      </x:c>
      <x:c r="E58" s="17" t="str">
        <x:v>Completed ANSYS sizing comparison is recorded on the Sizing sheet</x:v>
      </x:c>
      <x:c r="F58" s="17" t="str">
        <x:v>Assumption</x:v>
      </x:c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 ht="15" hidden="0" customHeight="1">
      <x:c r="A59" s="17" t="str">
        <x:v>Analytical 11% target mass</x:v>
      </x:c>
      <x:c r="B59" s="28" t="n">
        <x:f>B52*(1-B58)</x:f>
        <x:v>10597.124181098929</x:v>
      </x:c>
      <x:c r="C59" s="17" t="str">
        <x:v>kg</x:v>
      </x:c>
      <x:c r="D59" s="17" t="str">
        <x:v>Analytical baseline × (1 − target)</x:v>
      </x:c>
      <x:c r="E59" s="17" t="str">
        <x:v>Preliminary thickness-scaling sensitivity</x:v>
      </x:c>
      <x:c r="F59" s="17" t="str">
        <x:v>Formula</x:v>
      </x:c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 ht="15" hidden="0" customHeight="1">
      <x:c r="A60" s="17" t="str"/>
      <x:c r="B60" s="19"/>
      <x:c r="C60" s="17"/>
      <x:c r="D60" s="17"/>
      <x:c r="E60" s="17"/>
      <x:c r="F60" s="17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 ht="15" hidden="0" customHeight="1">
      <x:c r="A61" s="18" t="str">
        <x:v>CURRENT FEA RESULTS</x:v>
      </x:c>
      <x:c r="B61" s="19"/>
      <x:c r="C61" s="17"/>
      <x:c r="D61" s="17"/>
      <x:c r="E61" s="17"/>
      <x:c r="F61" s="17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 ht="15" hidden="0" customHeight="1">
      <x:c r="A62" s="17" t="str">
        <x:v>ANSYS total deformation</x:v>
      </x:c>
      <x:c r="B62" s="29" t="n">
        <x:v>2.9277</x:v>
      </x:c>
      <x:c r="C62" s="17" t="str">
        <x:v>m</x:v>
      </x:c>
      <x:c r="D62" s="17" t="str">
        <x:v>Current linear solve</x:v>
      </x:c>
      <x:c r="E62" s="17" t="str">
        <x:v>Maximum total deformation</x:v>
      </x:c>
      <x:c r="F62" s="17" t="str">
        <x:v>Observed</x:v>
      </x:c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 ht="15" hidden="0" customHeight="1">
      <x:c r="A63" s="17" t="str">
        <x:v>ANSYS maximum von Mises stress</x:v>
      </x:c>
      <x:c r="B63" s="27" t="n">
        <x:v>201870000</x:v>
      </x:c>
      <x:c r="C63" s="17" t="str">
        <x:v>Pa</x:v>
      </x:c>
      <x:c r="D63" s="17" t="str">
        <x:v>Current linear solve</x:v>
      </x:c>
      <x:c r="E63" s="17" t="str">
        <x:v>Peak value may include local/root concentration</x:v>
      </x:c>
      <x:c r="F63" s="17" t="str">
        <x:v>Observed</x:v>
      </x:c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 ht="15" hidden="0" customHeight="1">
      <x:c r="A64" s="17" t="str">
        <x:v>ANSYS root reaction, vertical</x:v>
      </x:c>
      <x:c r="B64" s="30"/>
      <x:c r="C64" s="17" t="str">
        <x:v>N</x:v>
      </x:c>
      <x:c r="D64" s="17" t="str">
        <x:v>Required export</x:v>
      </x:c>
      <x:c r="E64" s="17" t="str">
        <x:v>Enter the summed root reaction in the beam vertical direction</x:v>
      </x:c>
      <x:c r="F64" s="17" t="str">
        <x:v>Required input</x:v>
      </x:c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 ht="15" hidden="0" customHeight="1">
      <x:c r="A65" s="17" t="str">
        <x:v>ANSYS root bending moment</x:v>
      </x:c>
      <x:c r="B65" s="30"/>
      <x:c r="C65" s="17" t="str">
        <x:v>N·m</x:v>
      </x:c>
      <x:c r="D65" s="17" t="str">
        <x:v>Required export</x:v>
      </x:c>
      <x:c r="E65" s="17" t="str">
        <x:v>Enter the summed root bending moment about the chordwise axis</x:v>
      </x:c>
      <x:c r="F65" s="17" t="str">
        <x:v>Required input</x:v>
      </x:c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 ht="15" hidden="0" customHeight="1">
      <x:c r="A66" s="17" t="str">
        <x:v>Published coarse-grid tip displacement</x:v>
      </x:c>
      <x:c r="B66" s="31" t="n">
        <x:v>2.591</x:v>
      </x:c>
      <x:c r="C66" s="17" t="str">
        <x:v>m</x:v>
      </x:c>
      <x:c r="D66" s="17" t="str">
        <x:v>Brooks et al. grid study</x:v>
      </x:c>
      <x:c r="E66" s="17" t="str">
        <x:v>Coupled aerostructural result, not automatically like-for-like</x:v>
      </x:c>
      <x:c r="F66" s="17" t="str">
        <x:v>Reference</x:v>
      </x:c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 ht="15" hidden="0" customHeight="1">
      <x:c r="A67" s="17" t="str">
        <x:v>Published medium-grid tip displacement</x:v>
      </x:c>
      <x:c r="B67" s="31" t="n">
        <x:v>2.592</x:v>
      </x:c>
      <x:c r="C67" s="17" t="str">
        <x:v>m</x:v>
      </x:c>
      <x:c r="D67" s="17" t="str">
        <x:v>Brooks et al. grid study</x:v>
      </x:c>
      <x:c r="E67" s="17" t="str">
        <x:v>Reference value</x:v>
      </x:c>
      <x:c r="F67" s="17" t="str">
        <x:v>Reference</x:v>
      </x:c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 ht="15" hidden="0" customHeight="1">
      <x:c r="A68" s="17" t="str">
        <x:v>Published fine-grid tip displacement</x:v>
      </x:c>
      <x:c r="B68" s="31" t="n">
        <x:v>2.594</x:v>
      </x:c>
      <x:c r="C68" s="17" t="str">
        <x:v>m</x:v>
      </x:c>
      <x:c r="D68" s="17" t="str">
        <x:v>Brooks et al. grid study</x:v>
      </x:c>
      <x:c r="E68" s="17" t="str">
        <x:v>Reference value</x:v>
      </x:c>
      <x:c r="F68" s="17" t="str">
        <x:v>Reference</x:v>
      </x:c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 ht="15" hidden="0" customHeight="1">
      <x:c r="A69" s="17" t="str"/>
      <x:c r="B69" s="19"/>
      <x:c r="C69" s="17"/>
      <x:c r="D69" s="17"/>
      <x:c r="E69" s="17"/>
      <x:c r="F69" s="17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 ht="15" hidden="0" customHeight="1">
      <x:c r="A70" s="18" t="str">
        <x:v>BUCKLING INPUTS</x:v>
      </x:c>
      <x:c r="B70" s="19"/>
      <x:c r="C70" s="17"/>
      <x:c r="D70" s="17"/>
      <x:c r="E70" s="17"/>
      <x:c r="F70" s="17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 ht="15" hidden="0" customHeight="1">
      <x:c r="A71" s="17" t="str">
        <x:v>Panel width / stiffener pitch</x:v>
      </x:c>
      <x:c r="B71" s="21" t="n">
        <x:v>0.5</x:v>
      </x:c>
      <x:c r="C71" s="17" t="str">
        <x:v>m</x:v>
      </x:c>
      <x:c r="D71" s="17" t="str">
        <x:v>Screening assumption</x:v>
      </x:c>
      <x:c r="E71" s="17" t="str">
        <x:v>Replace with chosen panel bay or pitch</x:v>
      </x:c>
      <x:c r="F71" s="17" t="str">
        <x:v>Assumption</x:v>
      </x:c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 ht="15" hidden="0" customHeight="1">
      <x:c r="A72" s="17" t="str">
        <x:v>Panel length / rib pitch</x:v>
      </x:c>
      <x:c r="B72" s="21" t="n">
        <x:v>0.8</x:v>
      </x:c>
      <x:c r="C72" s="17" t="str">
        <x:v>m</x:v>
      </x:c>
      <x:c r="D72" s="17" t="str">
        <x:v>Screening assumption</x:v>
      </x:c>
      <x:c r="E72" s="17" t="str">
        <x:v>Replace with chosen rib spacing</x:v>
      </x:c>
      <x:c r="F72" s="17" t="str">
        <x:v>Assumption</x:v>
      </x:c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 ht="15" hidden="0" customHeight="1">
      <x:c r="A73" s="17" t="str">
        <x:v>Compression buckling coefficient</x:v>
      </x:c>
      <x:c r="B73" s="21" t="n">
        <x:v>4</x:v>
      </x:c>
      <x:c r="C73" s="17" t="str">
        <x:v>—</x:v>
      </x:c>
      <x:c r="D73" s="17" t="str">
        <x:v>Simply supported long plate</x:v>
      </x:c>
      <x:c r="E73" s="17" t="str">
        <x:v>Editable boundary-condition assumption</x:v>
      </x:c>
      <x:c r="F73" s="17" t="str">
        <x:v>Assumption</x:v>
      </x:c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 ht="15" hidden="0" customHeight="1">
      <x:c r="A74" s="17" t="str">
        <x:v>Shear buckling coefficient</x:v>
      </x:c>
      <x:c r="B74" s="32" t="n">
        <x:v>5.34</x:v>
      </x:c>
      <x:c r="C74" s="17" t="str">
        <x:v>—</x:v>
      </x:c>
      <x:c r="D74" s="17" t="str">
        <x:v>Simply supported long plate</x:v>
      </x:c>
      <x:c r="E74" s="17" t="str">
        <x:v>Editable boundary-condition assumption</x:v>
      </x:c>
      <x:c r="F74" s="17" t="str">
        <x:v>Assumption</x:v>
      </x:c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 ht="15" hidden="0" customHeight="1">
      <x:c r="A75" s="17" t="str">
        <x:v>ANSYS linear-buckling eigenvalue</x:v>
      </x:c>
      <x:c r="B75" s="80" t="n">
        <x:v>0.45096</x:v>
      </x:c>
      <x:c r="C75" s="17" t="str">
        <x:v>—</x:v>
      </x:c>
      <x:c r="D75" s="17" t="str">
        <x:v>Completed ANSYS buckling solve</x:v>
      </x:c>
      <x:c r="E75" s="17" t="str">
        <x:v>First positive eigenvalue</x:v>
      </x:c>
      <x:c r="F75" s="17" t="str">
        <x:v>Observed</x:v>
      </x:c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 ht="15" hidden="0" customHeight="1">
      <x:c r="A76" s="17" t="str">
        <x:v>Minimum buckling eigenvalue</x:v>
      </x:c>
      <x:c r="B76" s="32" t="n">
        <x:v>1</x:v>
      </x:c>
      <x:c r="C76" s="17" t="str">
        <x:v>—</x:v>
      </x:c>
      <x:c r="D76" s="17" t="str">
        <x:v>Screening gate</x:v>
      </x:c>
      <x:c r="E76" s="17" t="str">
        <x:v>At the stated reference load</x:v>
      </x:c>
      <x:c r="F76" s="17" t="str">
        <x:v>Assumption</x:v>
      </x:c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 ht="15" hidden="0" customHeight="1">
      <x:c r="A77" s="17" t="str"/>
      <x:c r="B77" s="19"/>
      <x:c r="C77" s="17"/>
      <x:c r="D77" s="17"/>
      <x:c r="E77" s="17"/>
      <x:c r="F77" s="17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 ht="15" hidden="0" customHeight="1">
      <x:c r="A78" s="18" t="str">
        <x:v>FATIGUE AND CRACK-GROWTH INPUTS</x:v>
      </x:c>
      <x:c r="B78" s="19"/>
      <x:c r="C78" s="17"/>
      <x:c r="D78" s="17"/>
      <x:c r="E78" s="17"/>
      <x:c r="F78" s="17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 ht="24" hidden="0" customHeight="1">
      <x:c r="A79" s="17" t="str">
        <x:v>Fatigue material basis</x:v>
      </x:c>
      <x:c r="B79" s="19" t="str">
        <x:v>Generic high-strength aluminum</x:v>
      </x:c>
      <x:c r="C79" s="17" t="str">
        <x:v>—</x:v>
      </x:c>
      <x:c r="D79" s="17" t="str">
        <x:v>Screening only</x:v>
      </x:c>
      <x:c r="E79" s="17" t="str">
        <x:v>The uCRM paper does not identify an alloy fatigue dataset</x:v>
      </x:c>
      <x:c r="F79" s="17" t="str">
        <x:v>Assumption</x:v>
      </x:c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 ht="15" hidden="0" customHeight="1">
      <x:c r="A80" s="17" t="str">
        <x:v>Ultimate tensile strength</x:v>
      </x:c>
      <x:c r="B80" s="33" t="n">
        <x:v>500</x:v>
      </x:c>
      <x:c r="C80" s="17" t="str">
        <x:v>MPa</x:v>
      </x:c>
      <x:c r="D80" s="17" t="str">
        <x:v>Screening assumption</x:v>
      </x:c>
      <x:c r="E80" s="17" t="str">
        <x:v>Replace with selected alloy allowable</x:v>
      </x:c>
      <x:c r="F80" s="17" t="str">
        <x:v>Assumption</x:v>
      </x:c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 ht="15" hidden="0" customHeight="1">
      <x:c r="A81" s="17" t="str">
        <x:v>Basquin fatigue coefficient</x:v>
      </x:c>
      <x:c r="B81" s="33" t="n">
        <x:v>500</x:v>
      </x:c>
      <x:c r="C81" s="17" t="str">
        <x:v>MPa</x:v>
      </x:c>
      <x:c r="D81" s="17" t="str">
        <x:v>Screening assumption</x:v>
      </x:c>
      <x:c r="E81" s="17" t="str">
        <x:v>σa = σf' (2N)^b</x:v>
      </x:c>
      <x:c r="F81" s="17" t="str">
        <x:v>Assumption</x:v>
      </x:c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 ht="15" hidden="0" customHeight="1">
      <x:c r="A82" s="17" t="str">
        <x:v>Basquin exponent</x:v>
      </x:c>
      <x:c r="B82" s="34" t="n">
        <x:v>-0.09</x:v>
      </x:c>
      <x:c r="C82" s="17" t="str">
        <x:v>—</x:v>
      </x:c>
      <x:c r="D82" s="17" t="str">
        <x:v>Screening assumption</x:v>
      </x:c>
      <x:c r="E82" s="17" t="str">
        <x:v>Replace with selected alloy fit</x:v>
      </x:c>
      <x:c r="F82" s="17" t="str">
        <x:v>Assumption</x:v>
      </x:c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 ht="15" hidden="0" customHeight="1">
      <x:c r="A83" s="17" t="str">
        <x:v>Maximum nominal cycle stress</x:v>
      </x:c>
      <x:c r="B83" s="33" t="n">
        <x:v>120</x:v>
      </x:c>
      <x:c r="C83" s="17" t="str">
        <x:v>MPa</x:v>
      </x:c>
      <x:c r="D83" s="17" t="str">
        <x:v>Screening case</x:v>
      </x:c>
      <x:c r="E83" s="17" t="str">
        <x:v>Use a non-singular local membrane stress</x:v>
      </x:c>
      <x:c r="F83" s="17" t="str">
        <x:v>Assumption</x:v>
      </x:c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 ht="15" hidden="0" customHeight="1">
      <x:c r="A84" s="17" t="str">
        <x:v>Minimum nominal cycle stress</x:v>
      </x:c>
      <x:c r="B84" s="33" t="n">
        <x:v>12</x:v>
      </x:c>
      <x:c r="C84" s="17" t="str">
        <x:v>MPa</x:v>
      </x:c>
      <x:c r="D84" s="17" t="str">
        <x:v>Screening case</x:v>
      </x:c>
      <x:c r="E84" s="17" t="str">
        <x:v>R = 0.1</x:v>
      </x:c>
      <x:c r="F84" s="17" t="str">
        <x:v>Assumption</x:v>
      </x:c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 ht="15" hidden="0" customHeight="1">
      <x:c r="A85" s="17" t="str">
        <x:v>Cycles per flight</x:v>
      </x:c>
      <x:c r="B85" s="35" t="n">
        <x:v>1</x:v>
      </x:c>
      <x:c r="C85" s="17" t="str">
        <x:v>cycles/flight</x:v>
      </x:c>
      <x:c r="D85" s="17" t="str">
        <x:v>Screening spectrum</x:v>
      </x:c>
      <x:c r="E85" s="17" t="str">
        <x:v>Replace with a mission spectrum</x:v>
      </x:c>
      <x:c r="F85" s="17" t="str">
        <x:v>Assumption</x:v>
      </x:c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 ht="15" hidden="0" customHeight="1">
      <x:c r="A86" s="17" t="str">
        <x:v>Design flights</x:v>
      </x:c>
      <x:c r="B86" s="36" t="n">
        <x:v>60000</x:v>
      </x:c>
      <x:c r="C86" s="17" t="str">
        <x:v>flights</x:v>
      </x:c>
      <x:c r="D86" s="17" t="str">
        <x:v>Screening life</x:v>
      </x:c>
      <x:c r="E86" s="17" t="str">
        <x:v>Editable</x:v>
      </x:c>
      <x:c r="F86" s="17" t="str">
        <x:v>Assumption</x:v>
      </x:c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 ht="15" hidden="0" customHeight="1">
      <x:c r="A87" s="17" t="str">
        <x:v>Crack geometry factor</x:v>
      </x:c>
      <x:c r="B87" s="32" t="n">
        <x:v>1.12</x:v>
      </x:c>
      <x:c r="C87" s="17" t="str">
        <x:v>—</x:v>
      </x:c>
      <x:c r="D87" s="17" t="str">
        <x:v>Edge-crack approximation</x:v>
      </x:c>
      <x:c r="E87" s="17" t="str">
        <x:v>K = Y σ sqrt(πa)</x:v>
      </x:c>
      <x:c r="F87" s="17" t="str">
        <x:v>Assumption</x:v>
      </x:c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 ht="15" hidden="0" customHeight="1">
      <x:c r="A88" s="17" t="str">
        <x:v>Initial crack size</x:v>
      </x:c>
      <x:c r="B88" s="37" t="n">
        <x:v>0.0005</x:v>
      </x:c>
      <x:c r="C88" s="17" t="str">
        <x:v>m</x:v>
      </x:c>
      <x:c r="D88" s="17" t="str">
        <x:v>Screening assumption</x:v>
      </x:c>
      <x:c r="E88" s="17" t="str">
        <x:v>0.5 mm</x:v>
      </x:c>
      <x:c r="F88" s="17" t="str">
        <x:v>Assumption</x:v>
      </x:c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 ht="15" hidden="0" customHeight="1">
      <x:c r="A89" s="17" t="str">
        <x:v>Fracture toughness</x:v>
      </x:c>
      <x:c r="B89" s="33" t="n">
        <x:v>25</x:v>
      </x:c>
      <x:c r="C89" s="17" t="str">
        <x:v>MPa√m</x:v>
      </x:c>
      <x:c r="D89" s="17" t="str">
        <x:v>Screening assumption</x:v>
      </x:c>
      <x:c r="E89" s="17" t="str">
        <x:v>Replace with thickness/orientation-specific value</x:v>
      </x:c>
      <x:c r="F89" s="17" t="str">
        <x:v>Assumption</x:v>
      </x:c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 ht="15" hidden="0" customHeight="1">
      <x:c r="A90" s="17" t="str">
        <x:v>Paris coefficient C</x:v>
      </x:c>
      <x:c r="B90" s="30" t="n">
        <x:v>1e-11</x:v>
      </x:c>
      <x:c r="C90" s="17" t="str">
        <x:v>m/cycle/(MPa√m)^m</x:v>
      </x:c>
      <x:c r="D90" s="17" t="str">
        <x:v>Screening assumption</x:v>
      </x:c>
      <x:c r="E90" s="17" t="str">
        <x:v>Use a test-based fit at the selected R ratio</x:v>
      </x:c>
      <x:c r="F90" s="17" t="str">
        <x:v>Assumption</x:v>
      </x:c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 ht="15" hidden="0" customHeight="1">
      <x:c r="A91" s="17" t="str">
        <x:v>Paris exponent m</x:v>
      </x:c>
      <x:c r="B91" s="32" t="n">
        <x:v>3</x:v>
      </x:c>
      <x:c r="C91" s="17" t="str">
        <x:v>—</x:v>
      </x:c>
      <x:c r="D91" s="17" t="str">
        <x:v>Screening assumption</x:v>
      </x:c>
      <x:c r="E91" s="17" t="str">
        <x:v>Use a test-based fit</x:v>
      </x:c>
      <x:c r="F91" s="17" t="str">
        <x:v>Assumption</x:v>
      </x:c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 ht="15" hidden="0" customHeight="1">
      <x:c r="A92" s="17" t="str">
        <x:v>Crack-growth threshold</x:v>
      </x:c>
      <x:c r="B92" s="33" t="n">
        <x:v>3</x:v>
      </x:c>
      <x:c r="C92" s="17" t="str">
        <x:v>MPa√m</x:v>
      </x:c>
      <x:c r="D92" s="17" t="str">
        <x:v>Screening assumption</x:v>
      </x:c>
      <x:c r="E92" s="17" t="str">
        <x:v>Paris law is not valid below threshold</x:v>
      </x:c>
      <x:c r="F92" s="17" t="str">
        <x:v>Assumption</x:v>
      </x:c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 ht="15" hidden="0" customHeight="1">
      <x:c r="A93" s="17" t="str">
        <x:v>Inspection safety factor</x:v>
      </x:c>
      <x:c r="B93" s="33" t="n">
        <x:v>4</x:v>
      </x:c>
      <x:c r="C93" s="17" t="str">
        <x:v>—</x:v>
      </x:c>
      <x:c r="D93" s="17" t="str">
        <x:v>Screening policy</x:v>
      </x:c>
      <x:c r="E93" s="17" t="str">
        <x:v>Inspection interval = predicted propagation life ÷ factor</x:v>
      </x:c>
      <x:c r="F93" s="17" t="str">
        <x:v>Assumption</x:v>
      </x:c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 ht="15" hidden="0" customHeight="1">
      <x:c r="A94" s="17" t="str"/>
      <x:c r="B94" s="21"/>
      <x:c r="C94" s="17"/>
      <x:c r="D94" s="17"/>
      <x:c r="E94" s="17"/>
      <x:c r="F94" s="17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 ht="15" hidden="0" customHeight="1">
      <x:c r="A95" s="18" t="str">
        <x:v>SOURCES</x:v>
      </x:c>
      <x:c r="B95" s="19"/>
      <x:c r="C95" s="17"/>
      <x:c r="D95" s="17"/>
      <x:c r="E95" s="17"/>
      <x:c r="F95" s="17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 ht="15" hidden="0" customHeight="1">
      <x:c r="A96" s="17" t="str">
        <x:v>uCRM model page</x:v>
      </x:c>
      <x:c r="B96" s="19"/>
      <x:c r="C96" s="17"/>
      <x:c r="D96" s="17" t="str">
        <x:v>MDO Laboratory</x:v>
      </x:c>
      <x:c r="E96" s="17" t="str">
        <x:v>https://mdolab.engin.umich.edu/wiki/ucrm</x:v>
      </x:c>
      <x:c r="F96" s="17" t="str">
        <x:v>Source</x:v>
      </x:c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 ht="24" hidden="0" customHeight="1">
      <x:c r="A97" s="17" t="str">
        <x:v>uCRM public dataset</x:v>
      </x:c>
      <x:c r="B97" s="19"/>
      <x:c r="C97" s="17"/>
      <x:c r="D97" s="17" t="str">
        <x:v>Mendeley Data, DOI 10.17632/gpk4zn73xn.1</x:v>
      </x:c>
      <x:c r="E97" s="17" t="str">
        <x:v>https://data.mendeley.com/datasets/gpk4zn73xn/1</x:v>
      </x:c>
      <x:c r="F97" s="17" t="str">
        <x:v>Source</x:v>
      </x:c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 ht="15" hidden="0" customHeight="1">
      <x:c r="A98" s="17" t="str">
        <x:v>uCRM-9 benchmark paper</x:v>
      </x:c>
      <x:c r="B98" s="19"/>
      <x:c r="C98" s="17"/>
      <x:c r="D98" s="17" t="str">
        <x:v>Brooks, Kenway and Martins (2018)</x:v>
      </x:c>
      <x:c r="E98" s="17" t="str">
        <x:v>https://websites.umich.edu/~mdolaboratory/pdf/Brooks2018a.pdf</x:v>
      </x:c>
      <x:c r="F98" s="17" t="str">
        <x:v>Source</x:v>
      </x:c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 ht="15" hidden="0" customHeight="1">
      <x:c r="A99" s="17" t="str">
        <x:v>NASA CRM geometry</x:v>
      </x:c>
      <x:c r="B99" s="19"/>
      <x:c r="C99" s="17"/>
      <x:c r="D99" s="17" t="str">
        <x:v>NASA Common Research Model</x:v>
      </x:c>
      <x:c r="E99" s="17" t="str">
        <x:v>https://www.nasa.gov/common_research_model/high-speed-crm/geometry/</x:v>
      </x:c>
      <x:c r="F99" s="17" t="str">
        <x:v>Source</x:v>
      </x:c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 ht="24" hidden="0" customHeight="1">
      <x:c r="A100" s="17" t="str">
        <x:v>Damage-tolerance guidance</x:v>
      </x:c>
      <x:c r="B100" s="19"/>
      <x:c r="C100" s="17"/>
      <x:c r="D100" s="17" t="str">
        <x:v>FAA AC 25.571-1D</x:v>
      </x:c>
      <x:c r="E100" s="17" t="str">
        <x:v>https://www.faa.gov/regulations_policies/advisory_circulars/index.cfm/go/document.information/documentid/865446</x:v>
      </x:c>
      <x:c r="F100" s="17" t="str">
        <x:v>Source</x:v>
      </x:c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 ht="15" hidden="0" customHeight="1">
      <x:c r="A101" s="17" t="str">
        <x:v>7075-T6 crack-growth test data</x:v>
      </x:c>
      <x:c r="B101" s="19"/>
      <x:c r="C101" s="17"/>
      <x:c r="D101" s="17" t="str">
        <x:v>NASA/TM-2005-213907</x:v>
      </x:c>
      <x:c r="E101" s="17" t="str">
        <x:v>https://ntrs.nasa.gov/citations/20050215293</x:v>
      </x:c>
      <x:c r="F101" s="17" t="str">
        <x:v>Source</x:v>
      </x:c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 ht="15" hidden="0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 ht="15" hidden="0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 ht="15" hidden="0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 ht="15" hidden="0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 ht="15" hidden="0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 ht="15" hidden="0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 ht="15" hidden="0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 ht="15" hidden="0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 ht="15" hidden="0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 ht="15" hidden="0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 ht="15" hidden="0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 ht="15" hidden="0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 ht="15" hidden="0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 ht="15" hidden="0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 ht="15" hidden="0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 ht="15" hidden="0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 ht="15" hidden="0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 ht="15" hidden="0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 ht="15" hidden="0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 ht="15" hidden="0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 ht="15" hidden="0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 ht="15" hidden="0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 ht="15" hidden="0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 ht="15" hidden="0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 ht="15" hidden="0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 ht="15" hidden="0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 ht="15" hidden="0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 ht="15" hidden="0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 ht="15" hidden="0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 ht="15" hidden="0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 ht="15" hidden="0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 ht="15" hidden="0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 ht="15" hidden="0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 ht="15" hidden="0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 ht="15" hidden="0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 ht="15" hidden="0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 ht="15" hidden="0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 ht="15" hidden="0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 ht="15" hidden="0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 ht="15" hidden="0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 ht="15" hidden="0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 ht="15" hidden="0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 ht="15" hidden="0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 ht="15" hidden="0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 ht="15" hidden="0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 ht="15" hidden="0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 ht="15" hidden="0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 ht="15" hidden="0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 ht="15" hidden="0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 ht="15" hidden="0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 ht="15" hidden="0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 ht="15" hidden="0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 ht="15" hidden="0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 ht="15" hidden="0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 ht="15" hidden="0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 ht="15" hidden="0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 ht="15" hidden="0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 ht="15" hidden="0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 ht="15" hidden="0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 ht="15" hidden="0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 ht="15" hidden="0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 ht="15" hidden="0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 ht="15" hidden="0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 ht="15" hidden="0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 ht="15" hidden="0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 ht="15" hidden="0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 ht="15" hidden="0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 ht="15" hidden="0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 ht="15" hidden="0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 ht="15" hidden="0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 ht="15" hidden="0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 ht="15" hidden="0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 ht="15" hidden="0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 ht="15" hidden="0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 ht="15" hidden="0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 ht="15" hidden="0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 ht="15" hidden="0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 ht="15" hidden="0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 ht="15" hidden="0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 ht="15" hidden="0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 ht="15" hidden="0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 ht="15" hidden="0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 ht="15" hidden="0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 ht="15" hidden="0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 ht="15" hidden="0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 ht="15" hidden="0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 ht="15" hidden="0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 ht="15" hidden="0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 ht="15" hidden="0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 ht="15" hidden="0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 ht="15" hidden="0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 ht="15" hidden="0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 ht="15" hidden="0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 ht="15" hidden="0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 ht="15" hidden="0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 ht="15" hidden="0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 ht="15" hidden="0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 ht="15" hidden="0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 ht="15" hidden="0" customHeight="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 ht="15" hidden="0" customHeight="1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 ht="15" hidden="0" customHeight="1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 ht="15" hidden="0" customHeight="1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 ht="15" hidden="0" customHeight="1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 ht="15" hidden="0" customHeight="1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 ht="15" hidden="0" customHeight="1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 ht="15" hidden="0" customHeight="1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 ht="15" hidden="0" customHeight="1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 ht="15" hidden="0" customHeight="1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 ht="15" hidden="0" customHeight="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 ht="15" hidden="0" customHeight="1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 ht="15" hidden="0" customHeight="1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 ht="15" hidden="0" customHeight="1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 ht="15" hidden="0" customHeight="1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 ht="15" hidden="0" customHeight="1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 ht="15" hidden="0" customHeight="1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 ht="15" hidden="0" customHeight="1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 ht="15" hidden="0" customHeight="1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 ht="15" hidden="0" customHeight="1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</x:sheetData>
  <x:mergeCells>
    <x:mergeCell ref="A1:F1"/>
    <x:mergeCell ref="A2:F2"/>
    <x:mergeCell ref="A4:F4"/>
    <x:mergeCell ref="A21:F21"/>
    <x:mergeCell ref="A39:F39"/>
    <x:mergeCell ref="A51:F51"/>
    <x:mergeCell ref="A61:F61"/>
    <x:mergeCell ref="A70:F70"/>
    <x:mergeCell ref="A78:F78"/>
    <x:mergeCell ref="A95:F95"/>
  </x:mergeCells>
  <x:conditionalFormatting sqref="B37:B37">
    <x:cfRule type="containsText" dxfId="0" priority="1" operator="containsText" text="Pass"/>
    <x:cfRule type="containsText" dxfId="1" priority="2" operator="containsText" text="Within"/>
    <x:cfRule type="containsText" dxfId="2" priority="3" operator="containsText" text="Investigate"/>
    <x:cfRule type="containsText" dxfId="3" priority="4" operator="containsText" text="Outside"/>
    <x:cfRule type="containsText" dxfId="4" priority="5" operator="containsText" text="Missing"/>
    <x:cfRule type="containsText" dxfId="5" priority="6" operator="containsText" text="Run ANSYS"/>
    <x:cfRule type="containsText" dxfId="6" priority="7" operator="containsText" text="Screening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2" hidden="0" customHeight="1">
      <x:c r="A1" s="73" t="str">
        <x:v>Swept equivalent-beam hand calculation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2" hidden="0" customHeight="1">
      <x:c r="A2" s="7" t="str">
        <x:v>Fixed BDF resultants are resolved along the 35° swept load path. Bending includes effective-width flexibility; web shear and torsional stress are retained.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 ht="15" hidden="0" customHeight="1">
      <x:c r="A4" s="12" t="str">
        <x:v>Span ratio η</x:v>
      </x:c>
      <x:c r="B4" s="12" t="str">
        <x:v>Span y (m)</x:v>
      </x:c>
      <x:c r="C4" s="12" t="str">
        <x:v>Section area (m²)</x:v>
      </x:c>
      <x:c r="D4" s="12" t="str">
        <x:v>Ixx (m⁴)</x:v>
      </x:c>
      <x:c r="E4" s="12" t="str">
        <x:v>Cell area (m²)</x:v>
      </x:c>
      <x:c r="F4" s="12" t="str">
        <x:v>Vz raw (kN)</x:v>
      </x:c>
      <x:c r="G4" s="12" t="str">
        <x:v>Mx raw (MN·m)</x:v>
      </x:c>
      <x:c r="H4" s="12" t="str">
        <x:v>Ty raw (MN·m)</x:v>
      </x:c>
      <x:c r="I4" s="12" t="str">
        <x:v>Load scale</x:v>
      </x:c>
      <x:c r="J4" s="12" t="str">
        <x:v>Swept curvature (1/m)</x:v>
      </x:c>
      <x:c r="K4" s="12" t="str">
        <x:v>Slope (rad)</x:v>
      </x:c>
      <x:c r="L4" s="12" t="str">
        <x:v>Bending deflection (m)</x:v>
      </x:c>
      <x:c r="M4" s="84" t="str">
        <x:v>Shear strain</x:v>
      </x:c>
      <x:c r="N4" s="84" t="str">
        <x:v>Shear deflection (m)</x:v>
      </x:c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15" hidden="0" customHeight="1">
      <x:c r="A5" s="44" t="n">
        <x:v>0</x:v>
      </x:c>
      <x:c r="B5" s="44" t="n">
        <x:v>0</x:v>
      </x:c>
      <x:c r="C5" s="45" t="n">
        <x:v>0.2674783148815723</x:v>
      </x:c>
      <x:c r="D5" s="45" t="n">
        <x:v>0.2203093940669012</x:v>
      </x:c>
      <x:c r="E5" s="45" t="n">
        <x:v>10.919584775764122</x:v>
      </x:c>
      <x:c r="F5" s="46" t="n">
        <x:v>632.2101084986424</x:v>
      </x:c>
      <x:c r="G5" s="44" t="n">
        <x:v>10.846390093579268</x:v>
      </x:c>
      <x:c r="H5" s="44" t="n">
        <x:v>-0.2949328542440666</x:v>
      </x:c>
      <x:c r="I5" s="47" t="n">
        <x:f>Inputs!$B$45</x:f>
        <x:v>1</x:v>
      </x:c>
      <x:c r="J5" s="48" t="n">
        <x:f>(G5*1000000*I5/COS(RADIANS(Inputs!$B$13)))/(Inputs!$B$40*(D5*COS(RADIANS(Inputs!$B$13))*Inputs!$B$47))</x:f>
        <x:v>0.0011823851936441905</x:v>
      </x:c>
      <x:c r="K5" s="48" t="n">
        <x:f>0</x:f>
        <x:v>0</x:v>
      </x:c>
      <x:c r="L5" s="49" t="n">
        <x:f>0</x:f>
        <x:v>0</x:v>
      </x:c>
      <x:c r="M5" s="87" t="n">
        <x:f>ABS(F5*1000*I5)/(Inputs!$B$50*(Inputs!$B$40/(2*(1+Inputs!$B$41)))*(E70*COS(RADIANS(Inputs!$B$13))))</x:f>
        <x:v>0.0009410303305016197</x:v>
      </x:c>
      <x:c r="N5" s="88" t="n">
        <x:f>0</x:f>
        <x:v>0</x:v>
      </x:c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15" hidden="0" customHeight="1">
      <x:c r="A6" s="44" t="n">
        <x:v>0.001</x:v>
      </x:c>
      <x:c r="B6" s="44" t="n">
        <x:v>0.029380513849000003</x:v>
      </x:c>
      <x:c r="C6" s="45" t="n">
        <x:v>0.2674783148815723</x:v>
      </x:c>
      <x:c r="D6" s="45" t="n">
        <x:v>0.2203093940669012</x:v>
      </x:c>
      <x:c r="E6" s="45" t="n">
        <x:v>10.919584775764122</x:v>
      </x:c>
      <x:c r="F6" s="46" t="n">
        <x:v>633.5597619915408</x:v>
      </x:c>
      <x:c r="G6" s="44" t="n">
        <x:v>10.827775782558005</x:v>
      </x:c>
      <x:c r="H6" s="44" t="n">
        <x:v>-0.2949576205517126</x:v>
      </x:c>
      <x:c r="I6" s="47" t="n">
        <x:f>Inputs!$B$45</x:f>
        <x:v>1</x:v>
      </x:c>
      <x:c r="J6" s="48" t="n">
        <x:f>(G6*1000000*I6/COS(RADIANS(Inputs!$B$13)))/(Inputs!$B$40*(D6*COS(RADIANS(Inputs!$B$13))*Inputs!$B$47))</x:f>
        <x:v>0.0011803560129166359</x:v>
      </x:c>
      <x:c r="K6" s="48" t="n">
        <x:f>K5+0.5*(J5+J6)*((B6-B5)/COS(RADIANS(Inputs!$B$13)))</x:f>
        <x:v>0.0000423722013666079</x:v>
      </x:c>
      <x:c r="L6" s="49" t="n">
        <x:f>L5+0.5*(K5+K6)*((B6-B5)/COS(RADIANS(Inputs!$B$13)))</x:f>
        <x:v>7.598815493067617e-7</x:v>
      </x:c>
      <x:c r="M6" s="87" t="n">
        <x:f>ABS(F6*1000*I6)/(Inputs!$B$50*(Inputs!$B$40/(2*(1+Inputs!$B$41)))*(E71*COS(RADIANS(Inputs!$B$13))))</x:f>
        <x:v>0.0009430392589502662</x:v>
      </x:c>
      <x:c r="N6" s="88" t="n">
        <x:f>N5+0.5*(M5+M6)*((B6-B5)/COS(RADIANS(Inputs!$B$13)))</x:f>
        <x:v>0.00003378794758024312</x:v>
      </x:c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15" hidden="0" customHeight="1">
      <x:c r="A7" s="44" t="n">
        <x:v>0.018206896551724135</x:v>
      </x:c>
      <x:c r="B7" s="44" t="n">
        <x:v>0.5349279762852414</x:v>
      </x:c>
      <x:c r="C7" s="45" t="n">
        <x:v>0.2657687923074484</x:v>
      </x:c>
      <x:c r="D7" s="45" t="n">
        <x:v>0.20857659755077873</x:v>
      </x:c>
      <x:c r="E7" s="45" t="n">
        <x:v>10.6575573910008</x:v>
      </x:c>
      <x:c r="F7" s="46" t="n">
        <x:v>647.7785226993886</x:v>
      </x:c>
      <x:c r="G7" s="44" t="n">
        <x:v>10.504889651639585</x:v>
      </x:c>
      <x:c r="H7" s="44" t="n">
        <x:v>-0.297257942299694</x:v>
      </x:c>
      <x:c r="I7" s="47" t="n">
        <x:f>Inputs!$B$45</x:f>
        <x:v>1</x:v>
      </x:c>
      <x:c r="J7" s="48" t="n">
        <x:f>(G7*1000000*I7/COS(RADIANS(Inputs!$B$13)))/(Inputs!$B$40*(D7*COS(RADIANS(Inputs!$B$13))*Inputs!$B$47))</x:f>
        <x:v>0.0012095747013071156</x:v>
      </x:c>
      <x:c r="K7" s="48" t="n">
        <x:f>K6+0.5*(J6+J7)*((B7-B6)/COS(RADIANS(Inputs!$B$13)))</x:f>
        <x:v>0.0007798564183674739</x:v>
      </x:c>
      <x:c r="L7" s="49" t="n">
        <x:f>L6+0.5*(K6+K7)*((B7-B6)/COS(RADIANS(Inputs!$B$13)))</x:f>
        <x:v>0.0002544829816422918</x:v>
      </x:c>
      <x:c r="M7" s="87" t="n">
        <x:f>ABS(F7*1000*I7)/(Inputs!$B$50*(Inputs!$B$40/(2*(1+Inputs!$B$41)))*(E72*COS(RADIANS(Inputs!$B$13))))</x:f>
        <x:v>0.0010090328881198496</x:v>
      </x:c>
      <x:c r="N7" s="88" t="n">
        <x:f>N6+0.5*(M6+M7)*((B7-B6)/COS(RADIANS(Inputs!$B$13)))</x:f>
        <x:v>0.0006361578783666225</x:v>
      </x:c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15" hidden="0" customHeight="1">
      <x:c r="A8" s="44" t="n">
        <x:v>0.03541379310344827</x:v>
      </x:c>
      <x:c r="B8" s="44" t="n">
        <x:v>1.0404754387214827</x:v>
      </x:c>
      <x:c r="C8" s="45" t="n">
        <x:v>0.2710329257611666</x:v>
      </x:c>
      <x:c r="D8" s="45" t="n">
        <x:v>0.2031394152149508</x:v>
      </x:c>
      <x:c r="E8" s="45" t="n">
        <x:v>10.363845071622656</x:v>
      </x:c>
      <x:c r="F8" s="46" t="n">
        <x:v>653.0231829158221</x:v>
      </x:c>
      <x:c r="G8" s="44" t="n">
        <x:v>10.176018053417664</x:v>
      </x:c>
      <x:c r="H8" s="44" t="n">
        <x:v>-0.2972816653579368</x:v>
      </x:c>
      <x:c r="I8" s="47" t="n">
        <x:f>Inputs!$B$45</x:f>
        <x:v>1</x:v>
      </x:c>
      <x:c r="J8" s="48" t="n">
        <x:f>(G8*1000000*I8/COS(RADIANS(Inputs!$B$13)))/(Inputs!$B$40*(D8*COS(RADIANS(Inputs!$B$13))*Inputs!$B$47))</x:f>
        <x:v>0.0012030687600124215</x:v>
      </x:c>
      <x:c r="K8" s="48" t="n">
        <x:f>K7+0.5*(J7+J8)*((B8-B7)/COS(RADIANS(Inputs!$B$13)))</x:f>
        <x:v>0.0015243493291384916</x:v>
      </x:c>
      <x:c r="L8" s="49" t="n">
        <x:f>L7+0.5*(K7+K8)*((B8-B7)/COS(RADIANS(Inputs!$B$13)))</x:f>
        <x:v>0.0009655142100351488</x:v>
      </x:c>
      <x:c r="M8" s="87" t="n">
        <x:f>ABS(F8*1000*I8)/(Inputs!$B$50*(Inputs!$B$40/(2*(1+Inputs!$B$41)))*(E73*COS(RADIANS(Inputs!$B$13))))</x:f>
        <x:v>0.001193236315588309</x:v>
      </x:c>
      <x:c r="N8" s="88" t="n">
        <x:f>N7+0.5*(M7+M8)*((B8-B7)/COS(RADIANS(Inputs!$B$13)))</x:f>
        <x:v>0.001315733553785042</x:v>
      </x:c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15" hidden="0" customHeight="1">
      <x:c r="A9" s="44" t="n">
        <x:v>0.05262068965517241</x:v>
      </x:c>
      <x:c r="B9" s="44" t="n">
        <x:v>1.5460229011577242</x:v>
      </x:c>
      <x:c r="C9" s="45" t="n">
        <x:v>0.26931087751018784</x:v>
      </x:c>
      <x:c r="D9" s="45" t="n">
        <x:v>0.18969438793141777</x:v>
      </x:c>
      <x:c r="E9" s="45" t="n">
        <x:v>10.036229082638677</x:v>
      </x:c>
      <x:c r="F9" s="46" t="n">
        <x:v>671.8066336646309</x:v>
      </x:c>
      <x:c r="G9" s="44" t="n">
        <x:v>9.839287209198945</x:v>
      </x:c>
      <x:c r="H9" s="44" t="n">
        <x:v>-0.3130200943529851</x:v>
      </x:c>
      <x:c r="I9" s="47" t="n">
        <x:f>Inputs!$B$45</x:f>
        <x:v>1</x:v>
      </x:c>
      <x:c r="J9" s="48" t="n">
        <x:f>(G9*1000000*I9/COS(RADIANS(Inputs!$B$13)))/(Inputs!$B$40*(D9*COS(RADIANS(Inputs!$B$13))*Inputs!$B$47))</x:f>
        <x:v>0.0012457070835602915</x:v>
      </x:c>
      <x:c r="K9" s="48" t="n">
        <x:f>K8+0.5*(J8+J9)*((B9-B8)/COS(RADIANS(Inputs!$B$13)))</x:f>
        <x:v>0.0022799919613117944</x:v>
      </x:c>
      <x:c r="L9" s="49" t="n">
        <x:f>L8+0.5*(K8+K9)*((B9-B8)/COS(RADIANS(Inputs!$B$13)))</x:f>
        <x:v>0.0021394568859018277</x:v>
      </x:c>
      <x:c r="M9" s="87" t="n">
        <x:f>ABS(F9*1000*I9)/(Inputs!$B$50*(Inputs!$B$40/(2*(1+Inputs!$B$41)))*(E74*COS(RADIANS(Inputs!$B$13))))</x:f>
        <x:v>0.0013003021959905516</x:v>
      </x:c>
      <x:c r="N9" s="88" t="n">
        <x:f>N8+0.5*(M8+M9)*((B9-B8)/COS(RADIANS(Inputs!$B$13)))</x:f>
        <x:v>0.0020851890387615303</x:v>
      </x:c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15" hidden="0" customHeight="1">
      <x:c r="A10" s="44" t="n">
        <x:v>0.06982758620689654</x:v>
      </x:c>
      <x:c r="B10" s="44" t="n">
        <x:v>2.0515703635939655</x:v>
      </x:c>
      <x:c r="C10" s="45" t="n">
        <x:v>0.27593619471819963</x:v>
      </x:c>
      <x:c r="D10" s="45" t="n">
        <x:v>0.1820069093997176</x:v>
      </x:c>
      <x:c r="E10" s="45" t="n">
        <x:v>9.670952641000596</x:v>
      </x:c>
      <x:c r="F10" s="46" t="n">
        <x:v>686.2634440625228</x:v>
      </x:c>
      <x:c r="G10" s="44" t="n">
        <x:v>9.496914446561526</x:v>
      </x:c>
      <x:c r="H10" s="44" t="n">
        <x:v>-0.31374097179972077</x:v>
      </x:c>
      <x:c r="I10" s="47" t="n">
        <x:f>Inputs!$B$45</x:f>
        <x:v>1</x:v>
      </x:c>
      <x:c r="J10" s="48" t="n">
        <x:f>(G10*1000000*I10/COS(RADIANS(Inputs!$B$13)))/(Inputs!$B$40*(D10*COS(RADIANS(Inputs!$B$13))*Inputs!$B$47))</x:f>
        <x:v>0.001253145299145146</x:v>
      </x:c>
      <x:c r="K10" s="48" t="n">
        <x:f>K9+0.5*(J9+J10)*((B10-B9)/COS(RADIANS(Inputs!$B$13)))</x:f>
        <x:v>0.003051087199300243</x:v>
      </x:c>
      <x:c r="L10" s="49" t="n">
        <x:f>L9+0.5*(K9+K10)*((B10-B9)/COS(RADIANS(Inputs!$B$13)))</x:f>
        <x:v>0.003784519948665377</x:v>
      </x:c>
      <x:c r="M10" s="87" t="n">
        <x:f>ABS(F10*1000*I10)/(Inputs!$B$50*(Inputs!$B$40/(2*(1+Inputs!$B$41)))*(E75*COS(RADIANS(Inputs!$B$13))))</x:f>
        <x:v>0.0015431236579231836</x:v>
      </x:c>
      <x:c r="N10" s="88" t="n">
        <x:f>N9+0.5*(M9+M10)*((B10-B9)/COS(RADIANS(Inputs!$B$13)))</x:f>
        <x:v>0.0029626126715862535</x:v>
      </x:c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15" hidden="0" customHeight="1">
      <x:c r="A11" s="44" t="n">
        <x:v>0.08703448275862069</x:v>
      </x:c>
      <x:c r="B11" s="44" t="n">
        <x:v>2.557117826030207</x:v>
      </x:c>
      <x:c r="C11" s="45" t="n">
        <x:v>0.2878463133459956</x:v>
      </x:c>
      <x:c r="D11" s="45" t="n">
        <x:v>0.1745114188079198</x:v>
      </x:c>
      <x:c r="E11" s="45" t="n">
        <x:v>9.270822969188615</x:v>
      </x:c>
      <x:c r="F11" s="46" t="n">
        <x:v>691.620788798972</x:v>
      </x:c>
      <x:c r="G11" s="44" t="n">
        <x:v>9.148706023725717</x:v>
      </x:c>
      <x:c r="H11" s="44" t="n">
        <x:v>-0.31362302088872435</x:v>
      </x:c>
      <x:c r="I11" s="47" t="n">
        <x:f>Inputs!$B$45</x:f>
        <x:v>1</x:v>
      </x:c>
      <x:c r="J11" s="48" t="n">
        <x:f>(G11*1000000*I11/COS(RADIANS(Inputs!$B$13)))/(Inputs!$B$40*(D11*COS(RADIANS(Inputs!$B$13))*Inputs!$B$47))</x:f>
        <x:v>0.0012590489115863292</x:v>
      </x:c>
      <x:c r="K11" s="48" t="n">
        <x:f>K10+0.5*(J10+J11)*((B11-B10)/COS(RADIANS(Inputs!$B$13)))</x:f>
        <x:v>0.003826299455215858</x:v>
      </x:c>
      <x:c r="L11" s="49" t="n">
        <x:f>L10+0.5*(K10+K11)*((B11-B10)/COS(RADIANS(Inputs!$B$13)))</x:f>
        <x:v>0.005906742187884301</x:v>
      </x:c>
      <x:c r="M11" s="87" t="n">
        <x:f>ABS(F11*1000*I11)/(Inputs!$B$50*(Inputs!$B$40/(2*(1+Inputs!$B$41)))*(E76*COS(RADIANS(Inputs!$B$13))))</x:f>
        <x:v>0.0014853490029408123</x:v>
      </x:c>
      <x:c r="N11" s="88" t="n">
        <x:f>N10+0.5*(M10+M11)*((B11-B10)/COS(RADIANS(Inputs!$B$13)))</x:f>
        <x:v>0.0038971380014267204</x:v>
      </x:c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15" hidden="0" customHeight="1">
      <x:c r="A12" s="44" t="n">
        <x:v>0.10424137931034483</x:v>
      </x:c>
      <x:c r="B12" s="44" t="n">
        <x:v>3.0626652884664485</x:v>
      </x:c>
      <x:c r="C12" s="45" t="n">
        <x:v>0.28599828347780226</x:v>
      </x:c>
      <x:c r="D12" s="45" t="n">
        <x:v>0.1581053619263116</x:v>
      </x:c>
      <x:c r="E12" s="45" t="n">
        <x:v>8.81992644763848</x:v>
      </x:c>
      <x:c r="F12" s="46" t="n">
        <x:v>703.4882626466555</x:v>
      </x:c>
      <x:c r="G12" s="44" t="n">
        <x:v>8.79526567666739</x:v>
      </x:c>
      <x:c r="H12" s="44" t="n">
        <x:v>-0.31351483872488983</x:v>
      </x:c>
      <x:c r="I12" s="47" t="n">
        <x:f>Inputs!$B$45</x:f>
        <x:v>1</x:v>
      </x:c>
      <x:c r="J12" s="48" t="n">
        <x:f>(G12*1000000*I12/COS(RADIANS(Inputs!$B$13)))/(Inputs!$B$40*(D12*COS(RADIANS(Inputs!$B$13))*Inputs!$B$47))</x:f>
        <x:v>0.0013360082584241834</x:v>
      </x:c>
      <x:c r="K12" s="48" t="n">
        <x:f>K11+0.5*(J11+J12)*((B12-B11)/COS(RADIANS(Inputs!$B$13)))</x:f>
        <x:v>0.004627081542205895</x:v>
      </x:c>
      <x:c r="L12" s="49" t="n">
        <x:f>L11+0.5*(K11+K12)*((B12-B11)/COS(RADIANS(Inputs!$B$13)))</x:f>
        <x:v>0.008515284363935817</x:v>
      </x:c>
      <x:c r="M12" s="87" t="n">
        <x:f>ABS(F12*1000*I12)/(Inputs!$B$50*(Inputs!$B$40/(2*(1+Inputs!$B$41)))*(E77*COS(RADIANS(Inputs!$B$13))))</x:f>
        <x:v>0.001631772502623343</x:v>
      </x:c>
      <x:c r="N12" s="88" t="n">
        <x:f>N11+0.5*(M11+M12)*((B12-B11)/COS(RADIANS(Inputs!$B$13)))</x:f>
        <x:v>0.0048590185694055285</x:v>
      </x:c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15" hidden="0" customHeight="1">
      <x:c r="A13" s="44" t="n">
        <x:v>0.12144827586206897</x:v>
      </x:c>
      <x:c r="B13" s="44" t="n">
        <x:v>3.56821275090269</x:v>
      </x:c>
      <x:c r="C13" s="45" t="n">
        <x:v>0.25513078735240674</x:v>
      </x:c>
      <x:c r="D13" s="45" t="n">
        <x:v>0.11834849557382962</x:v>
      </x:c>
      <x:c r="E13" s="45" t="n">
        <x:v>8.169348522734765</x:v>
      </x:c>
      <x:c r="F13" s="46" t="n">
        <x:v>698.1540883898406</x:v>
      </x:c>
      <x:c r="G13" s="44" t="n">
        <x:v>8.43991201293302</x:v>
      </x:c>
      <x:c r="H13" s="44" t="n">
        <x:v>-0.3309433276466281</x:v>
      </x:c>
      <x:c r="I13" s="47" t="n">
        <x:f>Inputs!$B$45</x:f>
        <x:v>1</x:v>
      </x:c>
      <x:c r="J13" s="48" t="n">
        <x:f>(G13*1000000*I13/COS(RADIANS(Inputs!$B$13)))/(Inputs!$B$40*(D13*COS(RADIANS(Inputs!$B$13))*Inputs!$B$47))</x:f>
        <x:v>0.001712702596834764</x:v>
      </x:c>
      <x:c r="K13" s="48" t="n">
        <x:f>K12+0.5*(J12+J13)*((B13-B12)/COS(RADIANS(Inputs!$B$13)))</x:f>
        <x:v>0.005567851968968228</x:v>
      </x:c>
      <x:c r="L13" s="49" t="n">
        <x:f>L12+0.5*(K12+K13)*((B13-B12)/COS(RADIANS(Inputs!$B$13)))</x:f>
        <x:v>0.011661234375422314</x:v>
      </x:c>
      <x:c r="M13" s="87" t="n">
        <x:f>ABS(F13*1000*I13)/(Inputs!$B$50*(Inputs!$B$40/(2*(1+Inputs!$B$41)))*(E78*COS(RADIANS(Inputs!$B$13))))</x:f>
        <x:v>0.0008951637249935147</x:v>
      </x:c>
      <x:c r="N13" s="88" t="n">
        <x:f>N12+0.5*(M12+M13)*((B13-B12)/COS(RADIANS(Inputs!$B$13)))</x:f>
        <x:v>0.005638779913173367</x:v>
      </x:c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15" hidden="0" customHeight="1">
      <x:c r="A14" s="44" t="n">
        <x:v>0.13865517241379308</x:v>
      </x:c>
      <x:c r="B14" s="44" t="n">
        <x:v>4.073760213338931</x:v>
      </x:c>
      <x:c r="C14" s="45" t="n">
        <x:v>0.2439945253558178</x:v>
      </x:c>
      <x:c r="D14" s="45" t="n">
        <x:v>0.10266246185702867</x:v>
      </x:c>
      <x:c r="E14" s="45" t="n">
        <x:v>7.561237315665039</x:v>
      </x:c>
      <x:c r="F14" s="46" t="n">
        <x:v>683.6681082695778</x:v>
      </x:c>
      <x:c r="G14" s="44" t="n">
        <x:v>8.090804218922933</x:v>
      </x:c>
      <x:c r="H14" s="44" t="n">
        <x:v>-0.34660631751619775</x:v>
      </x:c>
      <x:c r="I14" s="47" t="n">
        <x:f>Inputs!$B$45</x:f>
        <x:v>1</x:v>
      </x:c>
      <x:c r="J14" s="48" t="n">
        <x:f>(G14*1000000*I14/COS(RADIANS(Inputs!$B$13)))/(Inputs!$B$40*(D14*COS(RADIANS(Inputs!$B$13))*Inputs!$B$47))</x:f>
        <x:v>0.0018927218534170874</x:v>
      </x:c>
      <x:c r="K14" s="48" t="n">
        <x:f>K13+0.5*(J13+J14)*((B14-B13)/COS(RADIANS(Inputs!$B$13)))</x:f>
        <x:v>0.006680412936457774</x:v>
      </x:c>
      <x:c r="L14" s="49" t="n">
        <x:f>L13+0.5*(K13+K14)*((B14-B13)/COS(RADIANS(Inputs!$B$13)))</x:f>
        <x:v>0.015440800870650669</x:v>
      </x:c>
      <x:c r="M14" s="87" t="n">
        <x:f>ABS(F14*1000*I14)/(Inputs!$B$50*(Inputs!$B$40/(2*(1+Inputs!$B$41)))*(E79*COS(RADIANS(Inputs!$B$13))))</x:f>
        <x:v>0.0010381147530510969</x:v>
      </x:c>
      <x:c r="N14" s="88" t="n">
        <x:f>N13+0.5*(M13+M14)*((B14-B13)/COS(RADIANS(Inputs!$B$13)))</x:f>
        <x:v>0.0062353504983120416</x:v>
      </x:c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15" hidden="0" customHeight="1">
      <x:c r="A15" s="44" t="n">
        <x:v>0.15586206896551721</x:v>
      </x:c>
      <x:c r="B15" s="44" t="n">
        <x:v>4.579307675775172</x:v>
      </x:c>
      <x:c r="C15" s="45" t="n">
        <x:v>0.2344033851135128</x:v>
      </x:c>
      <x:c r="D15" s="45" t="n">
        <x:v>0.0884557838713483</x:v>
      </x:c>
      <x:c r="E15" s="45" t="n">
        <x:v>7.002060597920774</x:v>
      </x:c>
      <x:c r="F15" s="46" t="n">
        <x:v>674.5383520247618</x:v>
      </x:c>
      <x:c r="G15" s="44" t="n">
        <x:v>7.745857237761581</x:v>
      </x:c>
      <x:c r="H15" s="44" t="n">
        <x:v>-0.37836582829067733</x:v>
      </x:c>
      <x:c r="I15" s="47" t="n">
        <x:f>Inputs!$B$45</x:f>
        <x:v>1</x:v>
      </x:c>
      <x:c r="J15" s="48" t="n">
        <x:f>(G15*1000000*I15/COS(RADIANS(Inputs!$B$13)))/(Inputs!$B$40*(D15*COS(RADIANS(Inputs!$B$13))*Inputs!$B$47))</x:f>
        <x:v>0.0021030520991185786</x:v>
      </x:c>
      <x:c r="K15" s="48" t="n">
        <x:f>K14+0.5*(J14+J15)*((B15-B14)/COS(RADIANS(Inputs!$B$13)))</x:f>
        <x:v>0.007913427854907135</x:v>
      </x:c>
      <x:c r="L15" s="49" t="n">
        <x:f>L14+0.5*(K14+K15)*((B15-B14)/COS(RADIANS(Inputs!$B$13)))</x:f>
        <x:v>0.019944164581155045</x:v>
      </x:c>
      <x:c r="M15" s="87" t="n">
        <x:f>ABS(F15*1000*I15)/(Inputs!$B$50*(Inputs!$B$40/(2*(1+Inputs!$B$41)))*(E80*COS(RADIANS(Inputs!$B$13))))</x:f>
        <x:v>0.0011051316787021699</x:v>
      </x:c>
      <x:c r="N15" s="88" t="n">
        <x:f>N14+0.5*(M14+M15)*((B15-B14)/COS(RADIANS(Inputs!$B$13)))</x:f>
        <x:v>0.006896712941647492</x:v>
      </x:c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15" hidden="0" customHeight="1">
      <x:c r="A16" s="44" t="n">
        <x:v>0.17306896551724138</x:v>
      </x:c>
      <x:c r="B16" s="44" t="n">
        <x:v>5.084855138211414</x:v>
      </x:c>
      <x:c r="C16" s="45" t="n">
        <x:v>0.2181445105826293</x:v>
      </x:c>
      <x:c r="D16" s="45" t="n">
        <x:v>0.07483547826900938</x:v>
      </x:c>
      <x:c r="E16" s="45" t="n">
        <x:v>6.493142210572735</x:v>
      </x:c>
      <x:c r="F16" s="46" t="n">
        <x:v>657.7138747509204</x:v>
      </x:c>
      <x:c r="G16" s="44" t="n">
        <x:v>7.408193812020295</x:v>
      </x:c>
      <x:c r="H16" s="44" t="n">
        <x:v>-0.39223387303261387</x:v>
      </x:c>
      <x:c r="I16" s="47" t="n">
        <x:f>Inputs!$B$45</x:f>
        <x:v>1</x:v>
      </x:c>
      <x:c r="J16" s="48" t="n">
        <x:f>(G16*1000000*I16/COS(RADIANS(Inputs!$B$13)))/(Inputs!$B$40*(D16*COS(RADIANS(Inputs!$B$13))*Inputs!$B$47))</x:f>
        <x:v>0.0023774510066353147</x:v>
      </x:c>
      <x:c r="K16" s="48" t="n">
        <x:f>K15+0.5*(J15+J16)*((B16-B15)/COS(RADIANS(Inputs!$B$13)))</x:f>
        <x:v>0.00929602037319698</x:v>
      </x:c>
      <x:c r="L16" s="49" t="n">
        <x:f>L15+0.5*(K15+K16)*((B16-B15)/COS(RADIANS(Inputs!$B$13)))</x:f>
        <x:v>0.025254651774773366</x:v>
      </x:c>
      <x:c r="M16" s="87" t="n">
        <x:f>ABS(F16*1000*I16)/(Inputs!$B$50*(Inputs!$B$40/(2*(1+Inputs!$B$41)))*(E81*COS(RADIANS(Inputs!$B$13))))</x:f>
        <x:v>0.0013196166021645246</x:v>
      </x:c>
      <x:c r="N16" s="88" t="n">
        <x:f>N15+0.5*(M15+M16)*((B16-B15)/COS(RADIANS(Inputs!$B$13)))</x:f>
        <x:v>0.007644941154581265</x:v>
      </x:c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 ht="15" hidden="0" customHeight="1">
      <x:c r="A17" s="44" t="n">
        <x:v>0.1902758620689655</x:v>
      </x:c>
      <x:c r="B17" s="44" t="n">
        <x:v>5.590402600647655</x:v>
      </x:c>
      <x:c r="C17" s="45" t="n">
        <x:v>0.20488237526992148</x:v>
      </x:c>
      <x:c r="D17" s="45" t="n">
        <x:v>0.06334086915032211</x:v>
      </x:c>
      <x:c r="E17" s="45" t="n">
        <x:v>6.027040181093234</x:v>
      </x:c>
      <x:c r="F17" s="46" t="n">
        <x:v>640.4528846598857</x:v>
      </x:c>
      <x:c r="G17" s="44" t="n">
        <x:v>7.0795232932736605</x:v>
      </x:c>
      <x:c r="H17" s="44" t="n">
        <x:v>-0.410223700070151</x:v>
      </x:c>
      <x:c r="I17" s="47" t="n">
        <x:f>Inputs!$B$45</x:f>
        <x:v>1</x:v>
      </x:c>
      <x:c r="J17" s="48" t="n">
        <x:f>(G17*1000000*I17/COS(RADIANS(Inputs!$B$13)))/(Inputs!$B$40*(D17*COS(RADIANS(Inputs!$B$13))*Inputs!$B$47))</x:f>
        <x:v>0.0026842735710161806</x:v>
      </x:c>
      <x:c r="K17" s="48" t="n">
        <x:f>K16+0.5*(J16+J17)*((B17-B16)/COS(RADIANS(Inputs!$B$13)))</x:f>
        <x:v>0.010857966066687852</x:v>
      </x:c>
      <x:c r="L17" s="49" t="n">
        <x:f>L16+0.5*(K16+K17)*((B17-B16)/COS(RADIANS(Inputs!$B$13)))</x:f>
        <x:v>0.031473763827104186</x:v>
      </x:c>
      <x:c r="M17" s="87" t="n">
        <x:f>ABS(F17*1000*I17)/(Inputs!$B$50*(Inputs!$B$40/(2*(1+Inputs!$B$41)))*(E82*COS(RADIANS(Inputs!$B$13))))</x:f>
        <x:v>0.0013834603252431093</x:v>
      </x:c>
      <x:c r="N17" s="88" t="n">
        <x:f>N16+0.5*(M16+M17)*((B17-B16)/COS(RADIANS(Inputs!$B$13)))</x:f>
        <x:v>0.008479055951063892</x:v>
      </x:c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15" hidden="0" customHeight="1">
      <x:c r="A18" s="44" t="n">
        <x:v>0.20748275862068963</x:v>
      </x:c>
      <x:c r="B18" s="44" t="n">
        <x:v>6.0959500630838965</x:v>
      </x:c>
      <x:c r="C18" s="45" t="n">
        <x:v>0.19395401740489784</x:v>
      </x:c>
      <x:c r="D18" s="45" t="n">
        <x:v>0.05406083166790927</x:v>
      </x:c>
      <x:c r="E18" s="45" t="n">
        <x:v>5.597171199420373</x:v>
      </x:c>
      <x:c r="F18" s="46" t="n">
        <x:v>623.1671731990997</x:v>
      </x:c>
      <x:c r="G18" s="44" t="n">
        <x:v>6.7601178614728745</x:v>
      </x:c>
      <x:c r="H18" s="44" t="n">
        <x:v>-0.4210677363178483</x:v>
      </x:c>
      <x:c r="I18" s="47" t="n">
        <x:f>Inputs!$B$45</x:f>
        <x:v>1</x:v>
      </x:c>
      <x:c r="J18" s="48" t="n">
        <x:f>(G18*1000000*I18/COS(RADIANS(Inputs!$B$13)))/(Inputs!$B$40*(D18*COS(RADIANS(Inputs!$B$13))*Inputs!$B$47))</x:f>
        <x:v>0.003003158985064373</x:v>
      </x:c>
      <x:c r="K18" s="48" t="n">
        <x:f>K17+0.5*(J17+J18)*((B18-B17)/COS(RADIANS(Inputs!$B$13)))</x:f>
        <x:v>0.012612992570344731</x:v>
      </x:c>
      <x:c r="L18" s="49" t="n">
        <x:f>L17+0.5*(K17+K18)*((B18-B17)/COS(RADIANS(Inputs!$B$13)))</x:f>
        <x:v>0.038716426323415834</x:v>
      </x:c>
      <x:c r="M18" s="87" t="n">
        <x:f>ABS(F18*1000*I18)/(Inputs!$B$50*(Inputs!$B$40/(2*(1+Inputs!$B$41)))*(E83*COS(RADIANS(Inputs!$B$13))))</x:f>
        <x:v>0.0014431128740011413</x:v>
      </x:c>
      <x:c r="N18" s="88" t="n">
        <x:f>N17+0.5*(M17+M18)*((B18-B17)/COS(RADIANS(Inputs!$B$13)))</x:f>
        <x:v>0.009351279195961324</x:v>
      </x:c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 ht="15" hidden="0" customHeight="1">
      <x:c r="A19" s="44" t="n">
        <x:v>0.22468965517241377</x:v>
      </x:c>
      <x:c r="B19" s="44" t="n">
        <x:v>6.601497525520138</x:v>
      </x:c>
      <x:c r="C19" s="45" t="n">
        <x:v>0.19042589401768492</x:v>
      </x:c>
      <x:c r="D19" s="45" t="n">
        <x:v>0.0473168720212306</x:v>
      </x:c>
      <x:c r="E19" s="45" t="n">
        <x:v>5.1985524571196535</x:v>
      </x:c>
      <x:c r="F19" s="46" t="n">
        <x:v>605.3329734517226</x:v>
      </x:c>
      <x:c r="G19" s="44" t="n">
        <x:v>6.450110992685319</x:v>
      </x:c>
      <x:c r="H19" s="44" t="n">
        <x:v>-0.4340962410057832</x:v>
      </x:c>
      <x:c r="I19" s="47" t="n">
        <x:f>Inputs!$B$45</x:f>
        <x:v>1</x:v>
      </x:c>
      <x:c r="J19" s="48" t="n">
        <x:f>(G19*1000000*I19/COS(RADIANS(Inputs!$B$13)))/(Inputs!$B$40*(D19*COS(RADIANS(Inputs!$B$13))*Inputs!$B$47))</x:f>
        <x:v>0.0032738436871707216</x:v>
      </x:c>
      <x:c r="K19" s="48" t="n">
        <x:f>K18+0.5*(J18+J19)*((B19-B18)/COS(RADIANS(Inputs!$B$13)))</x:f>
        <x:v>0.01454994847174173</x:v>
      </x:c>
      <x:c r="L19" s="49" t="n">
        <x:f>L18+0.5*(K18+K19)*((B19-B18)/COS(RADIANS(Inputs!$B$13)))</x:f>
        <x:v>0.04709835981907798</x:v>
      </x:c>
      <x:c r="M19" s="87" t="n">
        <x:f>ABS(F19*1000*I19)/(Inputs!$B$50*(Inputs!$B$40/(2*(1+Inputs!$B$41)))*(E84*COS(RADIANS(Inputs!$B$13))))</x:f>
        <x:v>0.0012716720716254766</x:v>
      </x:c>
      <x:c r="N19" s="88" t="n">
        <x:f>N18+0.5*(M18+M19)*((B19-B18)/COS(RADIANS(Inputs!$B$13)))</x:f>
        <x:v>0.01018900684975294</x:v>
      </x:c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 ht="15" hidden="0" customHeight="1">
      <x:c r="A20" s="44" t="n">
        <x:v>0.24189655172413793</x:v>
      </x:c>
      <x:c r="B20" s="44" t="n">
        <x:v>7.10704498795638</x:v>
      </x:c>
      <x:c r="C20" s="45" t="n">
        <x:v>0.1825734934297585</x:v>
      </x:c>
      <x:c r="D20" s="45" t="n">
        <x:v>0.04177958753297908</x:v>
      </x:c>
      <x:c r="E20" s="45" t="n">
        <x:v>4.828874407680722</x:v>
      </x:c>
      <x:c r="F20" s="46" t="n">
        <x:v>588.9523239601722</x:v>
      </x:c>
      <x:c r="G20" s="44" t="n">
        <x:v>6.149345539411776</x:v>
      </x:c>
      <x:c r="H20" s="44" t="n">
        <x:v>-0.4580908946042167</x:v>
      </x:c>
      <x:c r="I20" s="47" t="n">
        <x:f>Inputs!$B$45</x:f>
        <x:v>1</x:v>
      </x:c>
      <x:c r="J20" s="48" t="n">
        <x:f>(G20*1000000*I20/COS(RADIANS(Inputs!$B$13)))/(Inputs!$B$40*(D20*COS(RADIANS(Inputs!$B$13))*Inputs!$B$47))</x:f>
        <x:v>0.0035348543831590527</x:v>
      </x:c>
      <x:c r="K20" s="48" t="n">
        <x:f>K19+0.5*(J19+J20)*((B20-B19)/COS(RADIANS(Inputs!$B$13)))</x:f>
        <x:v>0.016650974804977247</x:v>
      </x:c>
      <x:c r="L20" s="49" t="n">
        <x:f>L19+0.5*(K19+K20)*((B20-B19)/COS(RADIANS(Inputs!$B$13)))</x:f>
        <x:v>0.05672633285423307</x:v>
      </x:c>
      <x:c r="M20" s="87" t="n">
        <x:f>ABS(F20*1000*I20)/(Inputs!$B$50*(Inputs!$B$40/(2*(1+Inputs!$B$41)))*(E85*COS(RADIANS(Inputs!$B$13))))</x:f>
        <x:v>0.0015135539929642357</x:v>
      </x:c>
      <x:c r="N20" s="88" t="n">
        <x:f>N19+0.5*(M19+M20)*((B20-B19)/COS(RADIANS(Inputs!$B$13)))</x:f>
        <x:v>0.011048471206267355</x:v>
      </x:c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 ht="15" hidden="0" customHeight="1">
      <x:c r="A21" s="44" t="n">
        <x:v>0.259103448275862</x:v>
      </x:c>
      <x:c r="B21" s="44" t="n">
        <x:v>7.61259245039262</x:v>
      </x:c>
      <x:c r="C21" s="45" t="n">
        <x:v>0.18131609240866087</x:v>
      </x:c>
      <x:c r="D21" s="45" t="n">
        <x:v>0.03772069027334917</x:v>
      </x:c>
      <x:c r="E21" s="45" t="n">
        <x:v>4.4842515090265</x:v>
      </x:c>
      <x:c r="F21" s="46" t="n">
        <x:v>570.3411057746946</x:v>
      </x:c>
      <x:c r="G21" s="44" t="n">
        <x:v>5.855510722733058</x:v>
      </x:c>
      <x:c r="H21" s="44" t="n">
        <x:v>-0.46900405220886493</x:v>
      </x:c>
      <x:c r="I21" s="47" t="n">
        <x:f>Inputs!$B$45</x:f>
        <x:v>1</x:v>
      </x:c>
      <x:c r="J21" s="48" t="n">
        <x:f>(G21*1000000*I21/COS(RADIANS(Inputs!$B$13)))/(Inputs!$B$40*(D21*COS(RADIANS(Inputs!$B$13))*Inputs!$B$47))</x:f>
        <x:v>0.003728137554228813</x:v>
      </x:c>
      <x:c r="K21" s="48" t="n">
        <x:f>K20+0.5*(J20+J21)*((B21-B20)/COS(RADIANS(Inputs!$B$13)))</x:f>
        <x:v>0.018892187025126406</x:v>
      </x:c>
      <x:c r="L21" s="49" t="n">
        <x:f>L20+0.5*(K20+K21)*((B21-B20)/COS(RADIANS(Inputs!$B$13)))</x:f>
        <x:v>0.0676942327669813</x:v>
      </x:c>
      <x:c r="M21" s="87" t="n">
        <x:f>ABS(F21*1000*I21)/(Inputs!$B$50*(Inputs!$B$40/(2*(1+Inputs!$B$41)))*(E86*COS(RADIANS(Inputs!$B$13))))</x:f>
        <x:v>0.0015328394826518586</x:v>
      </x:c>
      <x:c r="N21" s="88" t="n">
        <x:f>N20+0.5*(M20+M21)*((B21-B20)/COS(RADIANS(Inputs!$B$13)))</x:f>
        <x:v>0.01198852653660399</x:v>
      </x:c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 ht="15" hidden="0" customHeight="1">
      <x:c r="A22" s="44" t="n">
        <x:v>0.2763103448275862</x:v>
      </x:c>
      <x:c r="B22" s="44" t="n">
        <x:v>8.118139912828862</x:v>
      </x:c>
      <x:c r="C22" s="45" t="n">
        <x:v>0.18116924265773934</x:v>
      </x:c>
      <x:c r="D22" s="45" t="n">
        <x:v>0.03422776155078164</x:v>
      </x:c>
      <x:c r="E22" s="45" t="n">
        <x:v>4.162756996159828</x:v>
      </x:c>
      <x:c r="F22" s="46" t="n">
        <x:v>552.0531590262814</x:v>
      </x:c>
      <x:c r="G22" s="44" t="n">
        <x:v>5.571378409481929</x:v>
      </x:c>
      <x:c r="H22" s="44" t="n">
        <x:v>-0.48250078079980774</x:v>
      </x:c>
      <x:c r="I22" s="47" t="n">
        <x:f>Inputs!$B$45</x:f>
        <x:v>1</x:v>
      </x:c>
      <x:c r="J22" s="48" t="n">
        <x:f>(G22*1000000*I22/COS(RADIANS(Inputs!$B$13)))/(Inputs!$B$40*(D22*COS(RADIANS(Inputs!$B$13))*Inputs!$B$47))</x:f>
        <x:v>0.003909227433417067</x:v>
      </x:c>
      <x:c r="K22" s="48" t="n">
        <x:f>K21+0.5*(J21+J22)*((B22-B21)/COS(RADIANS(Inputs!$B$13)))</x:f>
        <x:v>0.021248923186698885</x:v>
      </x:c>
      <x:c r="L22" s="49" t="n">
        <x:f>L21+0.5*(K21+K22)*((B22-B21)/COS(RADIANS(Inputs!$B$13)))</x:f>
        <x:v>0.0800809664316552</x:v>
      </x:c>
      <x:c r="M22" s="87" t="n">
        <x:f>ABS(F22*1000*I22)/(Inputs!$B$50*(Inputs!$B$40/(2*(1+Inputs!$B$41)))*(E87*COS(RADIANS(Inputs!$B$13))))</x:f>
        <x:v>0.0015514960631484445</x:v>
      </x:c>
      <x:c r="N22" s="88" t="n">
        <x:f>N21+0.5*(M21+M22)*((B22-B21)/COS(RADIANS(Inputs!$B$13)))</x:f>
        <x:v>0.012940290021388226</x:v>
      </x:c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 ht="15" hidden="0" customHeight="1">
      <x:c r="A23" s="44" t="n">
        <x:v>0.29351724137931035</x:v>
      </x:c>
      <x:c r="B23" s="44" t="n">
        <x:v>8.623687375265105</x:v>
      </x:c>
      <x:c r="C23" s="45" t="n">
        <x:v>0.18268342572402752</x:v>
      </x:c>
      <x:c r="D23" s="45" t="n">
        <x:v>0.03116497840473684</x:v>
      </x:c>
      <x:c r="E23" s="45" t="n">
        <x:v>3.8619229940654805</x:v>
      </x:c>
      <x:c r="F23" s="46" t="n">
        <x:v>533.191400144848</x:v>
      </x:c>
      <x:c r="G23" s="44" t="n">
        <x:v>5.296944397026529</x:v>
      </x:c>
      <x:c r="H23" s="44" t="n">
        <x:v>-0.49260434008892495</x:v>
      </x:c>
      <x:c r="I23" s="47" t="n">
        <x:f>Inputs!$B$45</x:f>
        <x:v>1</x:v>
      </x:c>
      <x:c r="J23" s="48" t="n">
        <x:f>(G23*1000000*I23/COS(RADIANS(Inputs!$B$13)))/(Inputs!$B$40*(D23*COS(RADIANS(Inputs!$B$13))*Inputs!$B$47))</x:f>
        <x:v>0.004081928211577661</x:v>
      </x:c>
      <x:c r="K23" s="48" t="n">
        <x:f>K22+0.5*(J22+J23)*((B23-B22)/COS(RADIANS(Inputs!$B$13)))</x:f>
        <x:v>0.023714831980082108</x:v>
      </x:c>
      <x:c r="L23" s="49" t="n">
        <x:f>L22+0.5*(K22+K23)*((B23-B22)/COS(RADIANS(Inputs!$B$13)))</x:f>
        <x:v>0.09395587066014977</x:v>
      </x:c>
      <x:c r="M23" s="87" t="n">
        <x:f>ABS(F23*1000*I23)/(Inputs!$B$50*(Inputs!$B$40/(2*(1+Inputs!$B$41)))*(E88*COS(RADIANS(Inputs!$B$13))))</x:f>
        <x:v>0.0014497679526606427</x:v>
      </x:c>
      <x:c r="N23" s="88" t="n">
        <x:f>N22+0.5*(M22+M23)*((B23-B22)/COS(RADIANS(Inputs!$B$13)))</x:f>
        <x:v>0.013866419314400283</x:v>
      </x:c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 ht="15" hidden="0" customHeight="1">
      <x:c r="A24" s="44" t="n">
        <x:v>0.3107241379310344</x:v>
      </x:c>
      <x:c r="B24" s="44" t="n">
        <x:v>9.129234837701345</x:v>
      </x:c>
      <x:c r="C24" s="45" t="n">
        <x:v>0.17960273467151627</x:v>
      </x:c>
      <x:c r="D24" s="45" t="n">
        <x:v>0.02825673500344971</x:v>
      </x:c>
      <x:c r="E24" s="45" t="n">
        <x:v>3.57952920468108</x:v>
      </x:c>
      <x:c r="F24" s="46" t="n">
        <x:v>515.8532157037881</x:v>
      </x:c>
      <x:c r="G24" s="44" t="n">
        <x:v>5.0322026289818655</x:v>
      </x:c>
      <x:c r="H24" s="44" t="n">
        <x:v>-0.5039886522095712</x:v>
      </x:c>
      <x:c r="I24" s="47" t="n">
        <x:f>Inputs!$B$45</x:f>
        <x:v>1</x:v>
      </x:c>
      <x:c r="J24" s="48" t="n">
        <x:f>(G24*1000000*I24/COS(RADIANS(Inputs!$B$13)))/(Inputs!$B$40*(D24*COS(RADIANS(Inputs!$B$13))*Inputs!$B$47))</x:f>
        <x:v>0.004277036143303784</x:v>
      </x:c>
      <x:c r="K24" s="48" t="n">
        <x:f>K23+0.5*(J23+J24)*((B24-B23)/COS(RADIANS(Inputs!$B$13)))</x:f>
        <x:v>0.026294239092392535</x:v>
      </x:c>
      <x:c r="L24" s="49" t="n">
        <x:f>L23+0.5*(K23+K24)*((B24-B23)/COS(RADIANS(Inputs!$B$13)))</x:f>
        <x:v>0.10938765719828103</x:v>
      </x:c>
      <x:c r="M24" s="87" t="n">
        <x:f>ABS(F24*1000*I24)/(Inputs!$B$50*(Inputs!$B$40/(2*(1+Inputs!$B$41)))*(E89*COS(RADIANS(Inputs!$B$13))))</x:f>
        <x:v>0.0017409939938802291</x:v>
      </x:c>
      <x:c r="N24" s="88" t="n">
        <x:f>N23+0.5*(M23+M24)*((B24-B23)/COS(RADIANS(Inputs!$B$13)))</x:f>
        <x:v>0.01485102383108191</x:v>
      </x:c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 ht="15" hidden="0" customHeight="1">
      <x:c r="A25" s="44" t="n">
        <x:v>0.3279310344827586</x:v>
      </x:c>
      <x:c r="B25" s="44" t="n">
        <x:v>9.634782300137587</x:v>
      </x:c>
      <x:c r="C25" s="45" t="n">
        <x:v>0.1855078616349574</x:v>
      </x:c>
      <x:c r="D25" s="45" t="n">
        <x:v>0.02594652208104043</x:v>
      </x:c>
      <x:c r="E25" s="45" t="n">
        <x:v>3.312496536982721</x:v>
      </x:c>
      <x:c r="F25" s="46" t="n">
        <x:v>511.84588967112336</x:v>
      </x:c>
      <x:c r="G25" s="44" t="n">
        <x:v>4.775788272428399</x:v>
      </x:c>
      <x:c r="H25" s="44" t="n">
        <x:v>-0.39120934548004144</x:v>
      </x:c>
      <x:c r="I25" s="47" t="n">
        <x:f>Inputs!$B$45</x:f>
        <x:v>1</x:v>
      </x:c>
      <x:c r="J25" s="48" t="n">
        <x:f>(G25*1000000*I25/COS(RADIANS(Inputs!$B$13)))/(Inputs!$B$40*(D25*COS(RADIANS(Inputs!$B$13))*Inputs!$B$47))</x:f>
        <x:v>0.004420513192730666</x:v>
      </x:c>
      <x:c r="K25" s="48" t="n">
        <x:f>K24+0.5*(J24+J25)*((B25-B24)/COS(RADIANS(Inputs!$B$13)))</x:f>
        <x:v>0.02897812667278841</x:v>
      </x:c>
      <x:c r="L25" s="49" t="n">
        <x:f>L24+0.5*(K24+K25)*((B25-B24)/COS(RADIANS(Inputs!$B$13)))</x:f>
        <x:v>0.12644358988516632</x:v>
      </x:c>
      <x:c r="M25" s="87" t="n">
        <x:f>ABS(F25*1000*I25)/(Inputs!$B$50*(Inputs!$B$40/(2*(1+Inputs!$B$41)))*(E90*COS(RADIANS(Inputs!$B$13))))</x:f>
        <x:v>0.0012724759549288971</x:v>
      </x:c>
      <x:c r="N25" s="88" t="n">
        <x:f>N24+0.5*(M24+M25)*((B25-B24)/COS(RADIANS(Inputs!$B$13)))</x:f>
        <x:v>0.01578091962782051</x:v>
      </x:c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 ht="15" hidden="0" customHeight="1">
      <x:c r="A26" s="44" t="n">
        <x:v>0.34513793103448276</x:v>
      </x:c>
      <x:c r="B26" s="44" t="n">
        <x:v>10.14032976257383</x:v>
      </x:c>
      <x:c r="C26" s="45" t="n">
        <x:v>0.1862004571175231</x:v>
      </x:c>
      <x:c r="D26" s="45" t="n">
        <x:v>0.02334762736402116</x:v>
      </x:c>
      <x:c r="E26" s="45" t="n">
        <x:v>3.059792183900413</x:v>
      </x:c>
      <x:c r="F26" s="46" t="n">
        <x:v>498.19741509244193</x:v>
      </x:c>
      <x:c r="G26" s="44" t="n">
        <x:v>4.521331994171131</x:v>
      </x:c>
      <x:c r="H26" s="44" t="n">
        <x:v>-0.4073119034686591</x:v>
      </x:c>
      <x:c r="I26" s="47" t="n">
        <x:f>Inputs!$B$45</x:f>
        <x:v>1</x:v>
      </x:c>
      <x:c r="J26" s="48" t="n">
        <x:f>(G26*1000000*I26/COS(RADIANS(Inputs!$B$13)))/(Inputs!$B$40*(D26*COS(RADIANS(Inputs!$B$13))*Inputs!$B$47))</x:f>
        <x:v>0.004650829551294896</x:v>
      </x:c>
      <x:c r="K26" s="48" t="n">
        <x:f>K25+0.5*(J25+J26)*((B26-B25)/COS(RADIANS(Inputs!$B$13)))</x:f>
        <x:v>0.03177735932874308</x:v>
      </x:c>
      <x:c r="L26" s="49" t="n">
        <x:f>L25+0.5*(K25+K26)*((B26-B25)/COS(RADIANS(Inputs!$B$13)))</x:f>
        <x:v>0.14519150243161838</x:v>
      </x:c>
      <x:c r="M26" s="87" t="n">
        <x:f>ABS(F26*1000*I26)/(Inputs!$B$50*(Inputs!$B$40/(2*(1+Inputs!$B$41)))*(E91*COS(RADIANS(Inputs!$B$13))))</x:f>
        <x:v>0.001101334450376322</x:v>
      </x:c>
      <x:c r="N26" s="88" t="n">
        <x:f>N25+0.5*(M25+M26)*((B26-B25)/COS(RADIANS(Inputs!$B$13)))</x:f>
        <x:v>0.0165134294439612</x:v>
      </x:c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 ht="15" hidden="0" customHeight="1">
      <x:c r="A27" s="44" t="n">
        <x:v>0.3623448275862069</x:v>
      </x:c>
      <x:c r="B27" s="44" t="n">
        <x:v>10.64587722501007</x:v>
      </x:c>
      <x:c r="C27" s="45" t="n">
        <x:v>0.19804884724918032</x:v>
      </x:c>
      <x:c r="D27" s="45" t="n">
        <x:v>0.021277134848477097</x:v>
      </x:c>
      <x:c r="E27" s="45" t="n">
        <x:v>2.825144054511455</x:v>
      </x:c>
      <x:c r="F27" s="46" t="n">
        <x:v>480.1443493189873</x:v>
      </x:c>
      <x:c r="G27" s="44" t="n">
        <x:v>4.274255191752087</x:v>
      </x:c>
      <x:c r="H27" s="44" t="n">
        <x:v>-0.4125068260238457</x:v>
      </x:c>
      <x:c r="I27" s="47" t="n">
        <x:f>Inputs!$B$45</x:f>
        <x:v>1</x:v>
      </x:c>
      <x:c r="J27" s="48" t="n">
        <x:f>(G27*1000000*I27/COS(RADIANS(Inputs!$B$13)))/(Inputs!$B$40*(D27*COS(RADIANS(Inputs!$B$13))*Inputs!$B$47))</x:f>
        <x:v>0.004824519661285268</x:v>
      </x:c>
      <x:c r="K27" s="48" t="n">
        <x:f>K26+0.5*(J26+J27)*((B27-B26)/COS(RADIANS(Inputs!$B$13)))</x:f>
        <x:v>0.0347012601988648</x:v>
      </x:c>
      <x:c r="L27" s="49" t="n">
        <x:f>L26+0.5*(K26+K27)*((B27-B26)/COS(RADIANS(Inputs!$B$13)))</x:f>
        <x:v>0.165705458078044</x:v>
      </x:c>
      <x:c r="M27" s="87" t="n">
        <x:f>ABS(F27*1000*I27)/(Inputs!$B$50*(Inputs!$B$40/(2*(1+Inputs!$B$41)))*(E92*COS(RADIANS(Inputs!$B$13))))</x:f>
        <x:v>0.0006445798267496207</x:v>
      </x:c>
      <x:c r="N27" s="88" t="n">
        <x:f>N26+0.5*(M26+M27)*((B27-B26)/COS(RADIANS(Inputs!$B$13)))</x:f>
        <x:v>0.01705218323123786</x:v>
      </x:c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 ht="15" hidden="0" customHeight="1">
      <x:c r="A28" s="44" t="n">
        <x:v>0.37955172413793103</x:v>
      </x:c>
      <x:c r="B28" s="44" t="n">
        <x:v>11.151424687446312</x:v>
      </x:c>
      <x:c r="C28" s="45" t="n">
        <x:v>0.18549127618170286</x:v>
      </x:c>
      <x:c r="D28" s="45" t="n">
        <x:v>0.018645278909862718</x:v>
      </x:c>
      <x:c r="E28" s="45" t="n">
        <x:v>2.645021400109684</x:v>
      </x:c>
      <x:c r="F28" s="46" t="n">
        <x:v>500.6414016155359</x:v>
      </x:c>
      <x:c r="G28" s="44" t="n">
        <x:v>4.034040322248293</x:v>
      </x:c>
      <x:c r="H28" s="44" t="n">
        <x:v>-0.10336250485294704</x:v>
      </x:c>
      <x:c r="I28" s="47" t="n">
        <x:f>Inputs!$B$45</x:f>
        <x:v>1</x:v>
      </x:c>
      <x:c r="J28" s="48" t="n">
        <x:f>(G28*1000000*I28/COS(RADIANS(Inputs!$B$13)))/(Inputs!$B$40*(D28*COS(RADIANS(Inputs!$B$13))*Inputs!$B$47))</x:f>
        <x:v>0.005196107523668863</x:v>
      </x:c>
      <x:c r="K28" s="48" t="n">
        <x:f>K27+0.5*(J27+J28)*((B28-B27)/COS(RADIANS(Inputs!$B$13)))</x:f>
        <x:v>0.03779342280817031</x:v>
      </x:c>
      <x:c r="L28" s="49" t="n">
        <x:f>L27+0.5*(K27+K28)*((B28-B27)/COS(RADIANS(Inputs!$B$13)))</x:f>
        <x:v>0.18807584907556474</x:v>
      </x:c>
      <x:c r="M28" s="87" t="n">
        <x:f>ABS(F28*1000*I28)/(Inputs!$B$50*(Inputs!$B$40/(2*(1+Inputs!$B$41)))*(E93*COS(RADIANS(Inputs!$B$13))))</x:f>
        <x:v>0.0007985988081029776</x:v>
      </x:c>
      <x:c r="N28" s="88" t="n">
        <x:f>N27+0.5*(M27+M28)*((B28-B27)/COS(RADIANS(Inputs!$B$13)))</x:f>
        <x:v>0.017497518930378552</x:v>
      </x:c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 ht="15" hidden="0" customHeight="1">
      <x:c r="A29" s="44" t="n">
        <x:v>0.3967586206896552</x:v>
      </x:c>
      <x:c r="B29" s="44" t="n">
        <x:v>11.656972149882552</x:v>
      </x:c>
      <x:c r="C29" s="45" t="n">
        <x:v>0.15770267361960702</x:v>
      </x:c>
      <x:c r="D29" s="45" t="n">
        <x:v>0.016236548046732642</x:v>
      </x:c>
      <x:c r="E29" s="45" t="n">
        <x:v>2.522627840142249</x:v>
      </x:c>
      <x:c r="F29" s="46" t="n">
        <x:v>481.5305227772483</x:v>
      </x:c>
      <x:c r="G29" s="44" t="n">
        <x:v>3.7860066972853126</x:v>
      </x:c>
      <x:c r="H29" s="44" t="n">
        <x:v>-0.1060906369281841</x:v>
      </x:c>
      <x:c r="I29" s="47" t="n">
        <x:f>Inputs!$B$45</x:f>
        <x:v>1</x:v>
      </x:c>
      <x:c r="J29" s="48" t="n">
        <x:f>(G29*1000000*I29/COS(RADIANS(Inputs!$B$13)))/(Inputs!$B$40*(D29*COS(RADIANS(Inputs!$B$13))*Inputs!$B$47))</x:f>
        <x:v>0.0056000828812035755</x:v>
      </x:c>
      <x:c r="K29" s="48" t="n">
        <x:f>K28+0.5*(J28+J29)*((B29-B28)/COS(RADIANS(Inputs!$B$13)))</x:f>
        <x:v>0.04112490852026371</x:v>
      </x:c>
      <x:c r="L29" s="49" t="n">
        <x:f>L28+0.5*(K28+K29)*((B29-B28)/COS(RADIANS(Inputs!$B$13)))</x:f>
        <x:v>0.21242844785191406</x:v>
      </x:c>
      <x:c r="M29" s="87" t="n">
        <x:f>ABS(F29*1000*I29)/(Inputs!$B$50*(Inputs!$B$40/(2*(1+Inputs!$B$41)))*(E94*COS(RADIANS(Inputs!$B$13))))</x:f>
        <x:v>0.0018637002278118332</x:v>
      </x:c>
      <x:c r="N29" s="88" t="n">
        <x:f>N28+0.5*(M28+M29)*((B29-B28)/COS(RADIANS(Inputs!$B$13)))</x:f>
        <x:v>0.018319050495389424</x:v>
      </x:c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 ht="15" hidden="0" customHeight="1">
      <x:c r="A30" s="44" t="n">
        <x:v>0.4139655172413793</x:v>
      </x:c>
      <x:c r="B30" s="44" t="n">
        <x:v>12.162519612318794</x:v>
      </x:c>
      <x:c r="C30" s="45" t="n">
        <x:v>0.1482464121682966</x:v>
      </x:c>
      <x:c r="D30" s="45" t="n">
        <x:v>0.014678310390779232</x:v>
      </x:c>
      <x:c r="E30" s="45" t="n">
        <x:v>2.411350020668195</x:v>
      </x:c>
      <x:c r="F30" s="46" t="n">
        <x:v>461.05987389812645</x:v>
      </x:c>
      <x:c r="G30" s="44" t="n">
        <x:v>3.5476130457831214</x:v>
      </x:c>
      <x:c r="H30" s="44" t="n">
        <x:v>-0.11281862505929034</x:v>
      </x:c>
      <x:c r="I30" s="47" t="n">
        <x:f>Inputs!$B$45</x:f>
        <x:v>1</x:v>
      </x:c>
      <x:c r="J30" s="48" t="n">
        <x:f>(G30*1000000*I30/COS(RADIANS(Inputs!$B$13)))/(Inputs!$B$40*(D30*COS(RADIANS(Inputs!$B$13))*Inputs!$B$47))</x:f>
        <x:v>0.005804528593309601</x:v>
      </x:c>
      <x:c r="K30" s="48" t="n">
        <x:f>K29+0.5*(J29+J30)*((B30-B29)/COS(RADIANS(Inputs!$B$13)))</x:f>
        <x:v>0.04464414065256937</x:v>
      </x:c>
      <x:c r="L30" s="49" t="n">
        <x:f>L29+0.5*(K29+K30)*((B30-B29)/COS(RADIANS(Inputs!$B$13)))</x:f>
        <x:v>0.23889503941278295</x:v>
      </x:c>
      <x:c r="M30" s="87" t="n">
        <x:f>ABS(F30*1000*I30)/(Inputs!$B$50*(Inputs!$B$40/(2*(1+Inputs!$B$41)))*(E95*COS(RADIANS(Inputs!$B$13))))</x:f>
        <x:v>0.0020486396222962125</x:v>
      </x:c>
      <x:c r="N30" s="88" t="n">
        <x:f>N29+0.5*(M29+M30)*((B30-B29)/COS(RADIANS(Inputs!$B$13)))</x:f>
        <x:v>0.01952631933955563</x:v>
      </x:c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 ht="15" hidden="0" customHeight="1">
      <x:c r="A31" s="44" t="n">
        <x:v>0.43117241379310345</x:v>
      </x:c>
      <x:c r="B31" s="44" t="n">
        <x:v>12.668067074755037</x:v>
      </x:c>
      <x:c r="C31" s="45" t="n">
        <x:v>0.14052094729674885</x:v>
      </x:c>
      <x:c r="D31" s="45" t="n">
        <x:v>0.013294303405369872</x:v>
      </x:c>
      <x:c r="E31" s="45" t="n">
        <x:v>2.3020918828437544</x:v>
      </x:c>
      <x:c r="F31" s="46" t="n">
        <x:v>459.378327544965</x:v>
      </x:c>
      <x:c r="G31" s="44" t="n">
        <x:v>3.3176966495599305</x:v>
      </x:c>
      <x:c r="H31" s="44" t="n">
        <x:v>0.03694114336954867</x:v>
      </x:c>
      <x:c r="I31" s="47" t="n">
        <x:f>Inputs!$B$45</x:f>
        <x:v>1</x:v>
      </x:c>
      <x:c r="J31" s="48" t="n">
        <x:f>(G31*1000000*I31/COS(RADIANS(Inputs!$B$13)))/(Inputs!$B$40*(D31*COS(RADIANS(Inputs!$B$13))*Inputs!$B$47))</x:f>
        <x:v>0.005993463527781038</x:v>
      </x:c>
      <x:c r="K31" s="48" t="n">
        <x:f>K30+0.5*(J30+J31)*((B31-B30)/COS(RADIANS(Inputs!$B$13)))</x:f>
        <x:v>0.04828476208557646</x:v>
      </x:c>
      <x:c r="L31" s="49" t="n">
        <x:f>L30+0.5*(K30+K31)*((B31-B30)/COS(RADIANS(Inputs!$B$13)))</x:f>
        <x:v>0.26757101678095985</x:v>
      </x:c>
      <x:c r="M31" s="87" t="n">
        <x:f>ABS(F31*1000*I31)/(Inputs!$B$50*(Inputs!$B$40/(2*(1+Inputs!$B$41)))*(E96*COS(RADIANS(Inputs!$B$13))))</x:f>
        <x:v>0.0021720972298467523</x:v>
      </x:c>
      <x:c r="N31" s="88" t="n">
        <x:f>N30+0.5*(M30+M31)*((B31-B30)/COS(RADIANS(Inputs!$B$13)))</x:f>
        <x:v>0.020828753252825107</x:v>
      </x:c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 ht="15" hidden="0" customHeight="1">
      <x:c r="A32" s="44" t="n">
        <x:v>0.4483793103448276</x:v>
      </x:c>
      <x:c r="B32" s="44" t="n">
        <x:v>13.173614537191277</x:v>
      </x:c>
      <x:c r="C32" s="45" t="n">
        <x:v>0.13638718331452063</x:v>
      </x:c>
      <x:c r="D32" s="45" t="n">
        <x:v>0.012131337538224908</x:v>
      </x:c>
      <x:c r="E32" s="45" t="n">
        <x:v>2.1943577945608297</x:v>
      </x:c>
      <x:c r="F32" s="46" t="n">
        <x:v>446.4124238214949</x:v>
      </x:c>
      <x:c r="G32" s="44" t="n">
        <x:v>3.088860572917775</x:v>
      </x:c>
      <x:c r="H32" s="44" t="n">
        <x:v>0.025755990167048323</x:v>
      </x:c>
      <x:c r="I32" s="47" t="n">
        <x:f>Inputs!$B$45</x:f>
        <x:v>1</x:v>
      </x:c>
      <x:c r="J32" s="48" t="n">
        <x:f>(G32*1000000*I32/COS(RADIANS(Inputs!$B$13)))/(Inputs!$B$40*(D32*COS(RADIANS(Inputs!$B$13))*Inputs!$B$47))</x:f>
        <x:v>0.006114999100131404</x:v>
      </x:c>
      <x:c r="K32" s="48" t="n">
        <x:f>K31+0.5*(J31+J32)*((B32-B31)/COS(RADIANS(Inputs!$B$13)))</x:f>
        <x:v>0.052021188429270955</x:v>
      </x:c>
      <x:c r="L32" s="49" t="n">
        <x:f>L31+0.5*(K31+K32)*((B32-B31)/COS(RADIANS(Inputs!$B$13)))</x:f>
        <x:v>0.29852340169141384</x:v>
      </x:c>
      <x:c r="M32" s="87" t="n">
        <x:f>ABS(F32*1000*I32)/(Inputs!$B$50*(Inputs!$B$40/(2*(1+Inputs!$B$41)))*(E97*COS(RADIANS(Inputs!$B$13))))</x:f>
        <x:v>0.0017984596086505304</x:v>
      </x:c>
      <x:c r="N32" s="88" t="n">
        <x:f>N31+0.5*(M31+M32)*((B32-B31)/COS(RADIANS(Inputs!$B$13)))</x:f>
        <x:v>0.022053986680584822</x:v>
      </x:c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 ht="15" hidden="0" customHeight="1">
      <x:c r="A33" s="44" t="n">
        <x:v>0.4655862068965517</x:v>
      </x:c>
      <x:c r="B33" s="44" t="n">
        <x:v>13.679161999627519</x:v>
      </x:c>
      <x:c r="C33" s="45" t="n">
        <x:v>0.12784561656876248</x:v>
      </x:c>
      <x:c r="D33" s="45" t="n">
        <x:v>0.010950256534411396</x:v>
      </x:c>
      <x:c r="E33" s="45" t="n">
        <x:v>2.0891221171896177</x:v>
      </x:c>
      <x:c r="F33" s="46" t="n">
        <x:v>428.1150619208014</x:v>
      </x:c>
      <x:c r="G33" s="44" t="n">
        <x:v>2.867714141740158</x:v>
      </x:c>
      <x:c r="H33" s="44" t="n">
        <x:v>0.02183686727560316</x:v>
      </x:c>
      <x:c r="I33" s="47" t="n">
        <x:f>Inputs!$B$45</x:f>
        <x:v>1</x:v>
      </x:c>
      <x:c r="J33" s="48" t="n">
        <x:f>(G33*1000000*I33/COS(RADIANS(Inputs!$B$13)))/(Inputs!$B$40*(D33*COS(RADIANS(Inputs!$B$13))*Inputs!$B$47))</x:f>
        <x:v>0.0062895321745687505</x:v>
      </x:c>
      <x:c r="K33" s="48" t="n">
        <x:f>K32+0.5*(J32+J33)*((B33-B32)/COS(RADIANS(Inputs!$B$13)))</x:f>
        <x:v>0.055848975561316044</x:v>
      </x:c>
      <x:c r="L33" s="49" t="n">
        <x:f>L32+0.5*(K32+K33)*((B33-B32)/COS(RADIANS(Inputs!$B$13)))</x:f>
        <x:v>0.3318099496883468</x:v>
      </x:c>
      <x:c r="M33" s="87" t="n">
        <x:f>ABS(F33*1000*I33)/(Inputs!$B$50*(Inputs!$B$40/(2*(1+Inputs!$B$41)))*(E98*COS(RADIANS(Inputs!$B$13))))</x:f>
        <x:v>0.0020877227420218482</x:v>
      </x:c>
      <x:c r="N33" s="88" t="n">
        <x:f>N32+0.5*(M32+M33)*((B33-B32)/COS(RADIANS(Inputs!$B$13)))</x:f>
        <x:v>0.02325318385017268</x:v>
      </x:c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 ht="15" hidden="0" customHeight="1">
      <x:c r="A34" s="44" t="n">
        <x:v>0.4827931034482759</x:v>
      </x:c>
      <x:c r="B34" s="44" t="n">
        <x:v>14.184709462063761</x:v>
      </x:c>
      <x:c r="C34" s="45" t="n">
        <x:v>0.12103081337846668</x:v>
      </x:c>
      <x:c r="D34" s="45" t="n">
        <x:v>0.009860507222622933</x:v>
      </x:c>
      <x:c r="E34" s="45" t="n">
        <x:v>1.986630415291799</x:v>
      </x:c>
      <x:c r="F34" s="46" t="n">
        <x:v>410.2137248140794</x:v>
      </x:c>
      <x:c r="G34" s="44" t="n">
        <x:v>2.655978579564727</x:v>
      </x:c>
      <x:c r="H34" s="44" t="n">
        <x:v>0.020799297778493153</x:v>
      </x:c>
      <x:c r="I34" s="47" t="n">
        <x:f>Inputs!$B$45</x:f>
        <x:v>1</x:v>
      </x:c>
      <x:c r="J34" s="48" t="n">
        <x:f>(G34*1000000*I34/COS(RADIANS(Inputs!$B$13)))/(Inputs!$B$40*(D34*COS(RADIANS(Inputs!$B$13))*Inputs!$B$47))</x:f>
        <x:v>0.006468924632642937</x:v>
      </x:c>
      <x:c r="K34" s="48" t="n">
        <x:f>K33+0.5*(J33+J34)*((B34-B33)/COS(RADIANS(Inputs!$B$13)))</x:f>
        <x:v>0.05978597694491556</x:v>
      </x:c>
      <x:c r="L34" s="49" t="n">
        <x:f>L33+0.5*(K33+K34)*((B34-B33)/COS(RADIANS(Inputs!$B$13)))</x:f>
        <x:v>0.367492554166983</x:v>
      </x:c>
      <x:c r="M34" s="87" t="n">
        <x:f>ABS(F34*1000*I34)/(Inputs!$B$50*(Inputs!$B$40/(2*(1+Inputs!$B$41)))*(E99*COS(RADIANS(Inputs!$B$13))))</x:f>
        <x:v>0.00204334920380024</x:v>
      </x:c>
      <x:c r="N34" s="88" t="n">
        <x:f>N33+0.5*(M33+M34)*((B34-B33)/COS(RADIANS(Inputs!$B$13)))</x:f>
        <x:v>0.024527948989265167</x:v>
      </x:c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 ht="15" hidden="0" customHeight="1">
      <x:c r="A35" s="44" t="n">
        <x:v>0.5</x:v>
      </x:c>
      <x:c r="B35" s="44" t="n">
        <x:v>14.690256924500002</x:v>
      </x:c>
      <x:c r="C35" s="45" t="n">
        <x:v>0.11412374910081714</x:v>
      </x:c>
      <x:c r="D35" s="45" t="n">
        <x:v>0.008844609848562333</x:v>
      </x:c>
      <x:c r="E35" s="45" t="n">
        <x:v>1.888249923017952</x:v>
      </x:c>
      <x:c r="F35" s="46" t="n">
        <x:v>391.645880932825</x:v>
      </x:c>
      <x:c r="G35" s="44" t="n">
        <x:v>2.4535623258630666</x:v>
      </x:c>
      <x:c r="H35" s="44" t="n">
        <x:v>0.019773839168379027</x:v>
      </x:c>
      <x:c r="I35" s="47" t="n">
        <x:f>Inputs!$B$45</x:f>
        <x:v>1</x:v>
      </x:c>
      <x:c r="J35" s="48" t="n">
        <x:f>(G35*1000000*I35/COS(RADIANS(Inputs!$B$13)))/(Inputs!$B$40*(D35*COS(RADIANS(Inputs!$B$13))*Inputs!$B$47))</x:f>
        <x:v>0.006662315466646493</x:v>
      </x:c>
      <x:c r="K35" s="48" t="n">
        <x:f>K34+0.5*(J34+J35)*((B35-B34)/COS(RADIANS(Inputs!$B$13)))</x:f>
        <x:v>0.06383801170276009</x:v>
      </x:c>
      <x:c r="L35" s="49" t="n">
        <x:f>L34+0.5*(K34+K35)*((B35-B34)/COS(RADIANS(Inputs!$B$13)))</x:f>
        <x:v>0.40564041340313123</x:v>
      </x:c>
      <x:c r="M35" s="87" t="n">
        <x:f>ABS(F35*1000*I35)/(Inputs!$B$50*(Inputs!$B$40/(2*(1+Inputs!$B$41)))*(E100*COS(RADIANS(Inputs!$B$13))))</x:f>
        <x:v>0.002005080258543716</x:v>
      </x:c>
      <x:c r="N35" s="88" t="n">
        <x:f>N34+0.5*(M34+M35)*((B35-B34)/COS(RADIANS(Inputs!$B$13)))</x:f>
        <x:v>0.025777212331650264</x:v>
      </x:c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 ht="15" hidden="0" customHeight="1">
      <x:c r="A36" s="44" t="n">
        <x:v>0.5172068965517241</x:v>
      </x:c>
      <x:c r="B36" s="44" t="n">
        <x:v>15.195804386936242</x:v>
      </x:c>
      <x:c r="C36" s="45" t="n">
        <x:v>0.10718655611803822</x:v>
      </x:c>
      <x:c r="D36" s="45" t="n">
        <x:v>0.007911752532445911</x:v>
      </x:c>
      <x:c r="E36" s="45" t="n">
        <x:v>1.7947143928453215</x:v>
      </x:c>
      <x:c r="F36" s="46" t="n">
        <x:v>372.1043780991742</x:v>
      </x:c>
      <x:c r="G36" s="44" t="n">
        <x:v>2.260306769964018</x:v>
      </x:c>
      <x:c r="H36" s="44" t="n">
        <x:v>0.019024192143273406</x:v>
      </x:c>
      <x:c r="I36" s="47" t="n">
        <x:f>Inputs!$B$45</x:f>
        <x:v>1</x:v>
      </x:c>
      <x:c r="J36" s="48" t="n">
        <x:f>(G36*1000000*I36/COS(RADIANS(Inputs!$B$13)))/(Inputs!$B$40*(D36*COS(RADIANS(Inputs!$B$13))*Inputs!$B$47))</x:f>
        <x:v>0.00686122197404212</x:v>
      </x:c>
      <x:c r="K36" s="48" t="n">
        <x:f>K35+0.5*(J35+J36)*((B36-B35)/COS(RADIANS(Inputs!$B$13)))</x:f>
        <x:v>0.06801110147526734</x:v>
      </x:c>
      <x:c r="L36" s="49" t="n">
        <x:f>L35+0.5*(K35+K36)*((B36-B35)/COS(RADIANS(Inputs!$B$13)))</x:f>
        <x:v>0.4463263794922939</x:v>
      </x:c>
      <x:c r="M36" s="87" t="n">
        <x:f>ABS(F36*1000*I36)/(Inputs!$B$50*(Inputs!$B$40/(2*(1+Inputs!$B$41)))*(E101*COS(RADIANS(Inputs!$B$13))))</x:f>
        <x:v>0.00197635972408975</x:v>
      </x:c>
      <x:c r="N36" s="88" t="n">
        <x:f>N35+0.5*(M35+M36)*((B36-B35)/COS(RADIANS(Inputs!$B$13)))</x:f>
        <x:v>0.02700580407728255</x:v>
      </x:c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 ht="15" hidden="0" customHeight="1">
      <x:c r="A37" s="44" t="n">
        <x:v>0.5344137931034483</x:v>
      </x:c>
      <x:c r="B37" s="44" t="n">
        <x:v>15.701351849372484</x:v>
      </x:c>
      <x:c r="C37" s="45" t="n">
        <x:v>0.1003924339940847</x:v>
      </x:c>
      <x:c r="D37" s="45" t="n">
        <x:v>0.007058992323850874</x:v>
      </x:c>
      <x:c r="E37" s="45" t="n">
        <x:v>1.7052936067131839</x:v>
      </x:c>
      <x:c r="F37" s="46" t="n">
        <x:v>355.49896584765776</x:v>
      </x:c>
      <x:c r="G37" s="44" t="n">
        <x:v>2.0762511487188027</x:v>
      </x:c>
      <x:c r="H37" s="44" t="n">
        <x:v>0.01651217699535071</x:v>
      </x:c>
      <x:c r="I37" s="47" t="n">
        <x:f>Inputs!$B$45</x:f>
        <x:v>1</x:v>
      </x:c>
      <x:c r="J37" s="48" t="n">
        <x:f>(G37*1000000*I37/COS(RADIANS(Inputs!$B$13)))/(Inputs!$B$40*(D37*COS(RADIANS(Inputs!$B$13))*Inputs!$B$47))</x:f>
        <x:v>0.007063890441497391</x:v>
      </x:c>
      <x:c r="K37" s="48" t="n">
        <x:f>K36+0.5*(J36+J37)*((B37-B36)/COS(RADIANS(Inputs!$B$13)))</x:f>
        <x:v>0.07230810915222786</x:v>
      </x:c>
      <x:c r="L37" s="49" t="n">
        <x:f>L36+0.5*(K36+K37)*((B37-B36)/COS(RADIANS(Inputs!$B$13)))</x:f>
        <x:v>0.48962604611606436</x:v>
      </x:c>
      <x:c r="M37" s="87" t="n">
        <x:f>ABS(F37*1000*I37)/(Inputs!$B$50*(Inputs!$B$40/(2*(1+Inputs!$B$41)))*(E102*COS(RADIANS(Inputs!$B$13))))</x:f>
        <x:v>0.0019704295964031804</x:v>
      </x:c>
      <x:c r="N37" s="88" t="n">
        <x:f>N36+0.5*(M36+M37)*((B37-B36)/COS(RADIANS(Inputs!$B$13)))</x:f>
        <x:v>0.028223703330331192</x:v>
      </x:c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 ht="15" hidden="0" customHeight="1">
      <x:c r="A38" s="44" t="n">
        <x:v>0.5516206896551724</x:v>
      </x:c>
      <x:c r="B38" s="44" t="n">
        <x:v>16.206899311808726</x:v>
      </x:c>
      <x:c r="C38" s="45" t="n">
        <x:v>0.09425623390505089</x:v>
      </x:c>
      <x:c r="D38" s="45" t="n">
        <x:v>0.006301804484807673</x:v>
      </x:c>
      <x:c r="E38" s="45" t="n">
        <x:v>1.6188050134240797</x:v>
      </x:c>
      <x:c r="F38" s="46" t="n">
        <x:v>342.25745663975886</x:v>
      </x:c>
      <x:c r="G38" s="44" t="n">
        <x:v>1.8999876648865066</x:v>
      </x:c>
      <x:c r="H38" s="44" t="n">
        <x:v>0.007871328886087499</x:v>
      </x:c>
      <x:c r="I38" s="47" t="n">
        <x:f>Inputs!$B$45</x:f>
        <x:v>1</x:v>
      </x:c>
      <x:c r="J38" s="48" t="n">
        <x:f>(G38*1000000*I38/COS(RADIANS(Inputs!$B$13)))/(Inputs!$B$40*(D38*COS(RADIANS(Inputs!$B$13))*Inputs!$B$47))</x:f>
        <x:v>0.0072409014258645946</x:v>
      </x:c>
      <x:c r="K38" s="48" t="n">
        <x:f>K37+0.5*(J37+J38)*((B38-B37)/COS(RADIANS(Inputs!$B$13)))</x:f>
        <x:v>0.07672227821866806</x:v>
      </x:c>
      <x:c r="L38" s="49" t="n">
        <x:f>L37+0.5*(K37+K38)*((B38-B37)/COS(RADIANS(Inputs!$B$13)))</x:f>
        <x:v>0.5356138054621586</x:v>
      </x:c>
      <x:c r="M38" s="87" t="n">
        <x:f>ABS(F38*1000*I38)/(Inputs!$B$50*(Inputs!$B$40/(2*(1+Inputs!$B$41)))*(E103*COS(RADIANS(Inputs!$B$13))))</x:f>
        <x:v>0.0018937457643431956</x:v>
      </x:c>
      <x:c r="N38" s="88" t="n">
        <x:f>N37+0.5*(M37+M38)*((B38-B37)/COS(RADIANS(Inputs!$B$13)))</x:f>
        <x:v>0.02941610958851834</x:v>
      </x:c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 ht="15" hidden="0" customHeight="1">
      <x:c r="A39" s="44" t="n">
        <x:v>0.5688275862068967</x:v>
      </x:c>
      <x:c r="B39" s="44" t="n">
        <x:v>16.71244677424497</x:v>
      </x:c>
      <x:c r="C39" s="45" t="n">
        <x:v>0.08808270830837119</x:v>
      </x:c>
      <x:c r="D39" s="45" t="n">
        <x:v>0.005600854779450286</x:v>
      </x:c>
      <x:c r="E39" s="45" t="n">
        <x:v>1.534452372999354</x:v>
      </x:c>
      <x:c r="F39" s="46" t="n">
        <x:v>324.80124874040166</x:v>
      </x:c>
      <x:c r="G39" s="44" t="n">
        <x:v>1.7315556143206539</x:v>
      </x:c>
      <x:c r="H39" s="44" t="n">
        <x:v>0.008297326037744066</x:v>
      </x:c>
      <x:c r="I39" s="47" t="n">
        <x:f>Inputs!$B$45</x:f>
        <x:v>1</x:v>
      </x:c>
      <x:c r="J39" s="48" t="n">
        <x:f>(G39*1000000*I39/COS(RADIANS(Inputs!$B$13)))/(Inputs!$B$40*(D39*COS(RADIANS(Inputs!$B$13))*Inputs!$B$47))</x:f>
        <x:v>0.00742487097744308</x:v>
      </x:c>
      <x:c r="K39" s="48" t="n">
        <x:f>K38+0.5*(J38+J39)*((B39-B38)/COS(RADIANS(Inputs!$B$13)))</x:f>
        <x:v>0.08124783856784298</x:v>
      </x:c>
      <x:c r="L39" s="49" t="n">
        <x:f>L38+0.5*(K38+K39)*((B39-B38)/COS(RADIANS(Inputs!$B$13)))</x:f>
        <x:v>0.5843601842565227</x:v>
      </x:c>
      <x:c r="M39" s="87" t="n">
        <x:f>ABS(F39*1000*I39)/(Inputs!$B$50*(Inputs!$B$40/(2*(1+Inputs!$B$41)))*(E104*COS(RADIANS(Inputs!$B$13))))</x:f>
        <x:v>0.0018248348112858942</x:v>
      </x:c>
      <x:c r="N39" s="88" t="n">
        <x:f>N38+0.5*(M38+M39)*((B39-B38)/COS(RADIANS(Inputs!$B$13)))</x:f>
        <x:v>0.030563588244636283</x:v>
      </x:c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 ht="15" hidden="0" customHeight="1">
      <x:c r="A40" s="44" t="n">
        <x:v>0.5860344827586208</x:v>
      </x:c>
      <x:c r="B40" s="44" t="n">
        <x:v>17.21799423668121</x:v>
      </x:c>
      <x:c r="C40" s="45" t="n">
        <x:v>0.08217891057334416</x:v>
      </x:c>
      <x:c r="D40" s="45" t="n">
        <x:v>0.004958893983164322</x:v>
      </x:c>
      <x:c r="E40" s="45" t="n">
        <x:v>1.4526031885891229</x:v>
      </x:c>
      <x:c r="F40" s="46" t="n">
        <x:v>307.93507838600533</x:v>
      </x:c>
      <x:c r="G40" s="44" t="n">
        <x:v>1.5720714495066783</x:v>
      </x:c>
      <x:c r="H40" s="44" t="n">
        <x:v>0.006770064446357367</x:v>
      </x:c>
      <x:c r="I40" s="47" t="n">
        <x:f>Inputs!$B$45</x:f>
        <x:v>1</x:v>
      </x:c>
      <x:c r="J40" s="48" t="n">
        <x:f>(G40*1000000*I40/COS(RADIANS(Inputs!$B$13)))/(Inputs!$B$40*(D40*COS(RADIANS(Inputs!$B$13))*Inputs!$B$47))</x:f>
        <x:v>0.007613673269628526</x:v>
      </x:c>
      <x:c r="K40" s="48" t="n">
        <x:f>K39+0.5*(J39+J40)*((B40-B39)/COS(RADIANS(Inputs!$B$13)))</x:f>
        <x:v>0.0858884287585451</x:v>
      </x:c>
      <x:c r="L40" s="49" t="n">
        <x:f>L39+0.5*(K39+K40)*((B40-B39)/COS(RADIANS(Inputs!$B$13)))</x:f>
        <x:v>0.6359350514725722</x:v>
      </x:c>
      <x:c r="M40" s="87" t="n">
        <x:f>ABS(F40*1000*I40)/(Inputs!$B$50*(Inputs!$B$40/(2*(1+Inputs!$B$41)))*(E105*COS(RADIANS(Inputs!$B$13))))</x:f>
        <x:v>0.001745175356630683</x:v>
      </x:c>
      <x:c r="N40" s="88" t="n">
        <x:f>N39+0.5*(M39+M40)*((B40-B39)/COS(RADIANS(Inputs!$B$13)))</x:f>
        <x:v>0.03166522108181509</x:v>
      </x:c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 ht="15" hidden="0" customHeight="1">
      <x:c r="A41" s="44" t="n">
        <x:v>0.6032413793103448</x:v>
      </x:c>
      <x:c r="B41" s="44" t="n">
        <x:v>17.72354169911745</x:v>
      </x:c>
      <x:c r="C41" s="45" t="n">
        <x:v>0.07610136874258178</x:v>
      </x:c>
      <x:c r="D41" s="45" t="n">
        <x:v>0.004365895022359477</x:v>
      </x:c>
      <x:c r="E41" s="45" t="n">
        <x:v>1.3733221761959982</x:v>
      </x:c>
      <x:c r="F41" s="46" t="n">
        <x:v>289.41267716036697</x:v>
      </x:c>
      <x:c r="G41" s="44" t="n">
        <x:v>1.4214548856319245</x:v>
      </x:c>
      <x:c r="H41" s="44" t="n">
        <x:v>0.007152223567591731</x:v>
      </x:c>
      <x:c r="I41" s="47" t="n">
        <x:f>Inputs!$B$45</x:f>
        <x:v>1</x:v>
      </x:c>
      <x:c r="J41" s="48" t="n">
        <x:f>(G41*1000000*I41/COS(RADIANS(Inputs!$B$13)))/(Inputs!$B$40*(D41*COS(RADIANS(Inputs!$B$13))*Inputs!$B$47))</x:f>
        <x:v>0.007819276495368604</x:v>
      </x:c>
      <x:c r="K41" s="48" t="n">
        <x:f>K40+0.5*(J40+J41)*((B41-B40)/COS(RADIANS(Inputs!$B$13)))</x:f>
        <x:v>0.09065072450449074</x:v>
      </x:c>
      <x:c r="L41" s="49" t="n">
        <x:f>L40+0.5*(K40+K41)*((B41-B40)/COS(RADIANS(Inputs!$B$13)))</x:f>
        <x:v>0.6904114588593332</x:v>
      </x:c>
      <x:c r="M41" s="87" t="n">
        <x:f>ABS(F41*1000*I41)/(Inputs!$B$50*(Inputs!$B$40/(2*(1+Inputs!$B$41)))*(E106*COS(RADIANS(Inputs!$B$13))))</x:f>
        <x:v>0.0017305617771732633</x:v>
      </x:c>
      <x:c r="N41" s="88" t="n">
        <x:f>N40+0.5*(M40+M41)*((B41-B40)/COS(RADIANS(Inputs!$B$13)))</x:f>
        <x:v>0.032737763169905204</x:v>
      </x:c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 ht="15" hidden="0" customHeight="1">
      <x:c r="A42" s="44" t="n">
        <x:v>0.620448275862069</x:v>
      </x:c>
      <x:c r="B42" s="44" t="n">
        <x:v>18.22908916155369</x:v>
      </x:c>
      <x:c r="C42" s="45" t="n">
        <x:v>0.07041611161765908</x:v>
      </x:c>
      <x:c r="D42" s="45" t="n">
        <x:v>0.0038297578152680493</x:v>
      </x:c>
      <x:c r="E42" s="45" t="n">
        <x:v>1.2966070348103784</x:v>
      </x:c>
      <x:c r="F42" s="46" t="n">
        <x:v>272.62566123060043</x:v>
      </x:c>
      <x:c r="G42" s="44" t="n">
        <x:v>1.2795232647331638</x:v>
      </x:c>
      <x:c r="H42" s="44" t="n">
        <x:v>0.007104617526245257</x:v>
      </x:c>
      <x:c r="I42" s="47" t="n">
        <x:f>Inputs!$B$45</x:f>
        <x:v>1</x:v>
      </x:c>
      <x:c r="J42" s="48" t="n">
        <x:f>(G42*1000000*I42/COS(RADIANS(Inputs!$B$13)))/(Inputs!$B$40*(D42*COS(RADIANS(Inputs!$B$13))*Inputs!$B$47))</x:f>
        <x:v>0.00802386576303412</x:v>
      </x:c>
      <x:c r="K42" s="48" t="n">
        <x:f>K41+0.5*(J41+J42)*((B42-B41)/COS(RADIANS(Inputs!$B$13)))</x:f>
        <x:v>0.0955395973465917</x:v>
      </x:c>
      <x:c r="L42" s="49" t="n">
        <x:f>L41+0.5*(K41+K42)*((B42-B41)/COS(RADIANS(Inputs!$B$13)))</x:f>
        <x:v>0.7478660214147517</x:v>
      </x:c>
      <x:c r="M42" s="87" t="n">
        <x:f>ABS(F42*1000*I42)/(Inputs!$B$50*(Inputs!$B$40/(2*(1+Inputs!$B$41)))*(E107*COS(RADIANS(Inputs!$B$13))))</x:f>
        <x:v>0.0017114768550010218</x:v>
      </x:c>
      <x:c r="N42" s="88" t="n">
        <x:f>N41+0.5*(M41+M42)*((B42-B41)/COS(RADIANS(Inputs!$B$13)))</x:f>
        <x:v>0.03379990658286196</x:v>
      </x:c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 ht="15" hidden="0" customHeight="1">
      <x:c r="A43" s="44" t="n">
        <x:v>0.6376551724137932</x:v>
      </x:c>
      <x:c r="B43" s="44" t="n">
        <x:v>18.734636623989935</x:v>
      </x:c>
      <x:c r="C43" s="45" t="n">
        <x:v>0.06346705867580774</x:v>
      </x:c>
      <x:c r="D43" s="45" t="n">
        <x:v>0.0033349417765446278</x:v>
      </x:c>
      <x:c r="E43" s="45" t="n">
        <x:v>1.222218910166717</x:v>
      </x:c>
      <x:c r="F43" s="46" t="n">
        <x:v>253.9450221628189</x:v>
      </x:c>
      <x:c r="G43" s="44" t="n">
        <x:v>1.1462687008747305</x:v>
      </x:c>
      <x:c r="H43" s="44" t="n">
        <x:v>0.005771851571121576</x:v>
      </x:c>
      <x:c r="I43" s="47" t="n">
        <x:f>Inputs!$B$45</x:f>
        <x:v>1</x:v>
      </x:c>
      <x:c r="J43" s="48" t="n">
        <x:f>(G43*1000000*I43/COS(RADIANS(Inputs!$B$13)))/(Inputs!$B$40*(D43*COS(RADIANS(Inputs!$B$13))*Inputs!$B$47))</x:f>
        <x:v>0.008254769610685293</x:v>
      </x:c>
      <x:c r="K43" s="48" t="n">
        <x:f>K42+0.5*(J42+J43)*((B43-B42)/COS(RADIANS(Inputs!$B$13)))</x:f>
        <x:v>0.10056285454437595</x:v>
      </x:c>
      <x:c r="L43" s="49" t="n">
        <x:f>L42+0.5*(K42+K43)*((B43-B42)/COS(RADIANS(Inputs!$B$13)))</x:f>
        <x:v>0.8083792665578161</x:v>
      </x:c>
      <x:c r="M43" s="87" t="n">
        <x:f>ABS(F43*1000*I43)/(Inputs!$B$50*(Inputs!$B$40/(2*(1+Inputs!$B$41)))*(E108*COS(RADIANS(Inputs!$B$13))))</x:f>
        <x:v>0.002044512361161748</x:v>
      </x:c>
      <x:c r="N43" s="88" t="n">
        <x:f>N42+0.5*(M42+M43)*((B43-B42)/COS(RADIANS(Inputs!$B$13)))</x:f>
        <x:v>0.03495892878784048</x:v>
      </x:c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 ht="15" hidden="0" customHeight="1">
      <x:c r="A44" s="44" t="n">
        <x:v>0.6548620689655172</x:v>
      </x:c>
      <x:c r="B44" s="44" t="n">
        <x:v>19.240184086426176</x:v>
      </x:c>
      <x:c r="C44" s="45" t="n">
        <x:v>0.058672296497796844</x:v>
      </x:c>
      <x:c r="D44" s="45" t="n">
        <x:v>0.0029191944390346155</x:v>
      </x:c>
      <x:c r="E44" s="45" t="n">
        <x:v>1.1501065697045334</x:v>
      </x:c>
      <x:c r="F44" s="46" t="n">
        <x:v>240.34112797267875</x:v>
      </x:c>
      <x:c r="G44" s="44" t="n">
        <x:v>1.0209370783920975</x:v>
      </x:c>
      <x:c r="H44" s="44" t="n">
        <x:v>0.004943480471107545</x:v>
      </x:c>
      <x:c r="I44" s="47" t="n">
        <x:f>Inputs!$B$45</x:f>
        <x:v>1</x:v>
      </x:c>
      <x:c r="J44" s="48" t="n">
        <x:f>(G44*1000000*I44/COS(RADIANS(Inputs!$B$13)))/(Inputs!$B$40*(D44*COS(RADIANS(Inputs!$B$13))*Inputs!$B$47))</x:f>
        <x:v>0.00839929302163903</x:v>
      </x:c>
      <x:c r="K44" s="48" t="n">
        <x:f>K43+0.5*(J43+J44)*((B44-B43)/COS(RADIANS(Inputs!$B$13)))</x:f>
        <x:v>0.10570196099092927</x:v>
      </x:c>
      <x:c r="L44" s="49" t="n">
        <x:f>L43+0.5*(K43+K44)*((B44-B43)/COS(RADIANS(Inputs!$B$13)))</x:f>
        <x:v>0.8720284113110731</x:v>
      </x:c>
      <x:c r="M44" s="87" t="n">
        <x:f>ABS(F44*1000*I44)/(Inputs!$B$50*(Inputs!$B$40/(2*(1+Inputs!$B$41)))*(E109*COS(RADIANS(Inputs!$B$13))))</x:f>
        <x:v>0.0020105021730867927</x:v>
      </x:c>
      <x:c r="N44" s="88" t="n">
        <x:f>N43+0.5*(M43+M44)*((B44-B43)/COS(RADIANS(Inputs!$B$13)))</x:f>
        <x:v>0.03621022415005299</x:v>
      </x:c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 ht="15" hidden="0" customHeight="1">
      <x:c r="A45" s="44" t="n">
        <x:v>0.6720689655172414</x:v>
      </x:c>
      <x:c r="B45" s="44" t="n">
        <x:v>19.745731548862416</x:v>
      </x:c>
      <x:c r="C45" s="45" t="n">
        <x:v>0.056502825716500796</x:v>
      </x:c>
      <x:c r="D45" s="45" t="n">
        <x:v>0.0025934238328001948</x:v>
      </x:c>
      <x:c r="E45" s="45" t="n">
        <x:v>1.0801103931447358</x:v>
      </x:c>
      <x:c r="F45" s="46" t="n">
        <x:v>223.769320606692</x:v>
      </x:c>
      <x:c r="G45" s="44" t="n">
        <x:v>0.9037762321463098</x:v>
      </x:c>
      <x:c r="H45" s="44" t="n">
        <x:v>0.0051348240572856715</x:v>
      </x:c>
      <x:c r="I45" s="47" t="n">
        <x:f>Inputs!$B$45</x:f>
        <x:v>1</x:v>
      </x:c>
      <x:c r="J45" s="48" t="n">
        <x:f>(G45*1000000*I45/COS(RADIANS(Inputs!$B$13)))/(Inputs!$B$40*(D45*COS(RADIANS(Inputs!$B$13))*Inputs!$B$47))</x:f>
        <x:v>0.008369397541696431</x:v>
      </x:c>
      <x:c r="K45" s="48" t="n">
        <x:f>K44+0.5*(J44+J45)*((B45-B44)/COS(RADIANS(Inputs!$B$13)))</x:f>
        <x:v>0.11087643929552227</x:v>
      </x:c>
      <x:c r="L45" s="49" t="n">
        <x:f>L44+0.5*(K44+K45)*((B45-B44)/COS(RADIANS(Inputs!$B$13)))</x:f>
        <x:v>0.9388601194455206</x:v>
      </x:c>
      <x:c r="M45" s="87" t="n">
        <x:f>ABS(F45*1000*I45)/(Inputs!$B$50*(Inputs!$B$40/(2*(1+Inputs!$B$41)))*(E110*COS(RADIANS(Inputs!$B$13))))</x:f>
        <x:v>0.0014820309448642726</x:v>
      </x:c>
      <x:c r="N45" s="88" t="n">
        <x:f>N44+0.5*(M44+M45)*((B45-B44)/COS(RADIANS(Inputs!$B$13)))</x:f>
        <x:v>0.0372879491386949</x:v>
      </x:c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 ht="15" hidden="0" customHeight="1">
      <x:c r="A46" s="44" t="n">
        <x:v>0.6892758620689656</x:v>
      </x:c>
      <x:c r="B46" s="44" t="n">
        <x:v>20.25127901129866</x:v>
      </x:c>
      <x:c r="C46" s="45" t="n">
        <x:v>0.0525420504093312</x:v>
      </x:c>
      <x:c r="D46" s="45" t="n">
        <x:v>0.0022734596895001022</x:v>
      </x:c>
      <x:c r="E46" s="45" t="n">
        <x:v>1.0124618624187036</x:v>
      </x:c>
      <x:c r="F46" s="46" t="n">
        <x:v>206.61523729587097</x:v>
      </x:c>
      <x:c r="G46" s="44" t="n">
        <x:v>0.7948843256469191</x:v>
      </x:c>
      <x:c r="H46" s="44" t="n">
        <x:v>0.005457105326282001</x:v>
      </x:c>
      <x:c r="I46" s="47" t="n">
        <x:f>Inputs!$B$45</x:f>
        <x:v>1</x:v>
      </x:c>
      <x:c r="J46" s="48" t="n">
        <x:f>(G46*1000000*I46/COS(RADIANS(Inputs!$B$13)))/(Inputs!$B$40*(D46*COS(RADIANS(Inputs!$B$13))*Inputs!$B$47))</x:f>
        <x:v>0.008396986477149449</x:v>
      </x:c>
      <x:c r="K46" s="48" t="n">
        <x:f>K45+0.5*(J45+J46)*((B46-B45)/COS(RADIANS(Inputs!$B$13)))</x:f>
        <x:v>0.11605020584719847</x:v>
      </x:c>
      <x:c r="L46" s="49" t="n">
        <x:f>L45+0.5*(K45+K46)*((B46-B45)/COS(RADIANS(Inputs!$B$13)))</x:f>
        <x:v>1.008885086367656</x:v>
      </x:c>
      <x:c r="M46" s="87" t="n">
        <x:f>ABS(F46*1000*I46)/(Inputs!$B$50*(Inputs!$B$40/(2*(1+Inputs!$B$41)))*(E111*COS(RADIANS(Inputs!$B$13))))</x:f>
        <x:v>0.00142459792305539</x:v>
      </x:c>
      <x:c r="N46" s="88" t="n">
        <x:f>N45+0.5*(M45+M46)*((B46-B45)/COS(RADIANS(Inputs!$B$13)))</x:f>
        <x:v>0.03818487594164035</x:v>
      </x:c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 ht="15" hidden="0" customHeight="1">
      <x:c r="A47" s="44" t="n">
        <x:v>0.7064827586206897</x:v>
      </x:c>
      <x:c r="B47" s="44" t="n">
        <x:v>20.7568264737349</x:v>
      </x:c>
      <x:c r="C47" s="45" t="n">
        <x:v>0.04866956932891337</x:v>
      </x:c>
      <x:c r="D47" s="45" t="n">
        <x:v>0.001983519785656079</x:v>
      </x:c>
      <x:c r="E47" s="45" t="n">
        <x:v>0.947594399373429</x:v>
      </x:c>
      <x:c r="F47" s="46" t="n">
        <x:v>191.06844368884634</x:v>
      </x:c>
      <x:c r="G47" s="44" t="n">
        <x:v>0.6940012968784784</x:v>
      </x:c>
      <x:c r="H47" s="44" t="n">
        <x:v>0.005352766241940684</x:v>
      </x:c>
      <x:c r="I47" s="47" t="n">
        <x:f>Inputs!$B$45</x:f>
        <x:v>1</x:v>
      </x:c>
      <x:c r="J47" s="48" t="n">
        <x:f>(G47*1000000*I47/COS(RADIANS(Inputs!$B$13)))/(Inputs!$B$40*(D47*COS(RADIANS(Inputs!$B$13))*Inputs!$B$47))</x:f>
        <x:v>0.008402925707504089</x:v>
      </x:c>
      <x:c r="K47" s="48" t="n">
        <x:f>K46+0.5*(J46+J47)*((B47-B46)/COS(RADIANS(Inputs!$B$13)))</x:f>
        <x:v>0.121234318511823</x:v>
      </x:c>
      <x:c r="L47" s="49" t="n">
        <x:f>L46+0.5*(K46+K47)*((B47-B46)/COS(RADIANS(Inputs!$B$13)))</x:f>
        <x:v>1.0821062850458667</x:v>
      </x:c>
      <x:c r="M47" s="87" t="n">
        <x:f>ABS(F47*1000*I47)/(Inputs!$B$50*(Inputs!$B$40/(2*(1+Inputs!$B$41)))*(E112*COS(RADIANS(Inputs!$B$13))))</x:f>
        <x:v>0.0013916222620188998</x:v>
      </x:c>
      <x:c r="N47" s="88" t="n">
        <x:f>N46+0.5*(M46+M47)*((B47-B46)/COS(RADIANS(Inputs!$B$13)))</x:f>
        <x:v>0.03905390445603648</x:v>
      </x:c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 ht="15" hidden="0" customHeight="1">
      <x:c r="A48" s="44" t="n">
        <x:v>0.7236896551724138</x:v>
      </x:c>
      <x:c r="B48" s="44" t="n">
        <x:v>21.26237393617114</x:v>
      </x:c>
      <x:c r="C48" s="45" t="n">
        <x:v>0.04342651185163257</x:v>
      </x:c>
      <x:c r="D48" s="45" t="n">
        <x:v>0.001705104464647216</x:v>
      </x:c>
      <x:c r="E48" s="45" t="n">
        <x:v>0.8853234593590997</x:v>
      </x:c>
      <x:c r="F48" s="46" t="n">
        <x:v>175.82691396521483</x:v>
      </x:c>
      <x:c r="G48" s="44" t="n">
        <x:v>0.601106746576556</x:v>
      </x:c>
      <x:c r="H48" s="44" t="n">
        <x:v>0.004218498616502737</x:v>
      </x:c>
      <x:c r="I48" s="47" t="n">
        <x:f>Inputs!$B$45</x:f>
        <x:v>1</x:v>
      </x:c>
      <x:c r="J48" s="48" t="n">
        <x:f>(G48*1000000*I48/COS(RADIANS(Inputs!$B$13)))/(Inputs!$B$40*(D48*COS(RADIANS(Inputs!$B$13))*Inputs!$B$47))</x:f>
        <x:v>0.0084665677804373</x:v>
      </x:c>
      <x:c r="K48" s="48" t="n">
        <x:f>K47+0.5*(J47+J48)*((B48-B47)/COS(RADIANS(Inputs!$B$13)))</x:f>
        <x:v>0.12643990255746612</x:v>
      </x:c>
      <x:c r="L48" s="49" t="n">
        <x:f>L47+0.5*(K47+K48)*((B48-B47)/COS(RADIANS(Inputs!$B$13)))</x:f>
        <x:v>1.1585335337144165</x:v>
      </x:c>
      <x:c r="M48" s="87" t="n">
        <x:f>ABS(F48*1000*I48)/(Inputs!$B$50*(Inputs!$B$40/(2*(1+Inputs!$B$41)))*(E113*COS(RADIANS(Inputs!$B$13))))</x:f>
        <x:v>0.0016337774991645594</x:v>
      </x:c>
      <x:c r="N48" s="88" t="n">
        <x:f>N47+0.5*(M47+M48)*((B48-B47)/COS(RADIANS(Inputs!$B$13)))</x:f>
        <x:v>0.03998748155126858</x:v>
      </x:c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 ht="15" hidden="0" customHeight="1">
      <x:c r="A49" s="44" t="n">
        <x:v>0.740896551724138</x:v>
      </x:c>
      <x:c r="B49" s="44" t="n">
        <x:v>21.767921398607385</x:v>
      </x:c>
      <x:c r="C49" s="45" t="n">
        <x:v>0.03973293720067738</x:v>
      </x:c>
      <x:c r="D49" s="45" t="n">
        <x:v>0.0014650371282291597</x:v>
      </x:c>
      <x:c r="E49" s="45" t="n">
        <x:v>0.825262934791894</x:v>
      </x:c>
      <x:c r="F49" s="46" t="n">
        <x:v>162.59391390281385</x:v>
      </x:c>
      <x:c r="G49" s="44" t="n">
        <x:v>0.516030435735891</x:v>
      </x:c>
      <x:c r="H49" s="44" t="n">
        <x:v>0.00469837768914483</x:v>
      </x:c>
      <x:c r="I49" s="47" t="n">
        <x:f>Inputs!$B$45</x:f>
        <x:v>1</x:v>
      </x:c>
      <x:c r="J49" s="48" t="n">
        <x:f>(G49*1000000*I49/COS(RADIANS(Inputs!$B$13)))/(Inputs!$B$40*(D49*COS(RADIANS(Inputs!$B$13))*Inputs!$B$47))</x:f>
        <x:v>0.008459281260627505</x:v>
      </x:c>
      <x:c r="K49" s="48" t="n">
        <x:f>K48+0.5*(J48+J49)*((B49-B48)/COS(RADIANS(Inputs!$B$13)))</x:f>
        <x:v>0.13166287678547797</x:v>
      </x:c>
      <x:c r="L49" s="49" t="n">
        <x:f>L48+0.5*(K48+K49)*((B49-B48)/COS(RADIANS(Inputs!$B$13)))</x:f>
        <x:v>1.2381788242647342</x:v>
      </x:c>
      <x:c r="M49" s="87" t="n">
        <x:f>ABS(F49*1000*I49)/(Inputs!$B$50*(Inputs!$B$40/(2*(1+Inputs!$B$41)))*(E114*COS(RADIANS(Inputs!$B$13))))</x:f>
        <x:v>0.0015714584908287004</x:v>
      </x:c>
      <x:c r="N49" s="88" t="n">
        <x:f>N48+0.5*(M48+M49)*((B49-B48)/COS(RADIANS(Inputs!$B$13)))</x:f>
        <x:v>0.04097655246462807</x:v>
      </x:c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 ht="15" hidden="0" customHeight="1">
      <x:c r="A50" s="44" t="n">
        <x:v>0.7581034482758622</x:v>
      </x:c>
      <x:c r="B50" s="44" t="n">
        <x:v>22.273468861043625</x:v>
      </x:c>
      <x:c r="C50" s="45" t="n">
        <x:v>0.036114291057027556</x:v>
      </x:c>
      <x:c r="D50" s="45" t="n">
        <x:v>0.0012451448569713312</x:v>
      </x:c>
      <x:c r="E50" s="45" t="n">
        <x:v>0.7669501906042058</x:v>
      </x:c>
      <x:c r="F50" s="46" t="n">
        <x:v>147.39583012482436</x:v>
      </x:c>
      <x:c r="G50" s="44" t="n">
        <x:v>0.43772161642531154</x:v>
      </x:c>
      <x:c r="H50" s="44" t="n">
        <x:v>0.004596218312768813</x:v>
      </x:c>
      <x:c r="I50" s="47" t="n">
        <x:f>Inputs!$B$45</x:f>
        <x:v>1</x:v>
      </x:c>
      <x:c r="J50" s="48" t="n">
        <x:f>(G50*1000000*I50/COS(RADIANS(Inputs!$B$13)))/(Inputs!$B$40*(D50*COS(RADIANS(Inputs!$B$13))*Inputs!$B$47))</x:f>
        <x:v>0.008442768750369497</x:v>
      </x:c>
      <x:c r="K50" s="48" t="n">
        <x:f>K49+0.5*(J49+J50)*((B50-B49)/COS(RADIANS(Inputs!$B$13)))</x:f>
        <x:v>0.1368785071147941</x:v>
      </x:c>
      <x:c r="L50" s="49" t="n">
        <x:f>L49+0.5*(K49+K50)*((B50-B49)/COS(RADIANS(Inputs!$B$13)))</x:f>
        <x:v>1.3210452567765008</x:v>
      </x:c>
      <x:c r="M50" s="87" t="n">
        <x:f>ABS(F50*1000*I50)/(Inputs!$B$50*(Inputs!$B$40/(2*(1+Inputs!$B$41)))*(E115*COS(RADIANS(Inputs!$B$13))))</x:f>
        <x:v>0.0015044934924858544</x:v>
      </x:c>
      <x:c r="N50" s="88" t="n">
        <x:f>N49+0.5*(M49+M50)*((B50-B49)/COS(RADIANS(Inputs!$B$13)))</x:f>
        <x:v>0.041925728951814976</x:v>
      </x:c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 ht="15" hidden="0" customHeight="1">
      <x:c r="A51" s="44" t="n">
        <x:v>0.7753103448275862</x:v>
      </x:c>
      <x:c r="B51" s="44" t="n">
        <x:v>22.779016323479865</x:v>
      </x:c>
      <x:c r="C51" s="45" t="n">
        <x:v>0.03456941719100168</x:v>
      </x:c>
      <x:c r="D51" s="45" t="n">
        <x:v>0.0010740025361249128</x:v>
      </x:c>
      <x:c r="E51" s="45" t="n">
        <x:v>0.7102481729260433</x:v>
      </x:c>
      <x:c r="F51" s="46" t="n">
        <x:v>133.73078551441665</x:v>
      </x:c>
      <x:c r="G51" s="44" t="n">
        <x:v>0.36688474566860213</x:v>
      </x:c>
      <x:c r="H51" s="44" t="n">
        <x:v>0.003586402830045061</x:v>
      </x:c>
      <x:c r="I51" s="47" t="n">
        <x:f>Inputs!$B$45</x:f>
        <x:v>1</x:v>
      </x:c>
      <x:c r="J51" s="48" t="n">
        <x:f>(G51*1000000*I51/COS(RADIANS(Inputs!$B$13)))/(Inputs!$B$40*(D51*COS(RADIANS(Inputs!$B$13))*Inputs!$B$47))</x:f>
        <x:v>0.008204103429423472</x:v>
      </x:c>
      <x:c r="K51" s="48" t="n">
        <x:f>K50+0.5*(J50+J51)*((B51-B50)/COS(RADIANS(Inputs!$B$13)))</x:f>
        <x:v>0.1420153947333189</x:v>
      </x:c>
      <x:c r="L51" s="49" t="n">
        <x:f>L50+0.5*(K50+K51)*((B51-B50)/COS(RADIANS(Inputs!$B$13)))</x:f>
        <x:v>1.4071062666654741</x:v>
      </x:c>
      <x:c r="M51" s="87" t="n">
        <x:f>ABS(F51*1000*I51)/(Inputs!$B$50*(Inputs!$B$40/(2*(1+Inputs!$B$41)))*(E116*COS(RADIANS(Inputs!$B$13))))</x:f>
        <x:v>0.0010839327426364423</x:v>
      </x:c>
      <x:c r="N51" s="88" t="n">
        <x:f>N50+0.5*(M50+M51)*((B51-B50)/COS(RADIANS(Inputs!$B$13)))</x:f>
        <x:v>0.04272446486658968</x:v>
      </x:c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 ht="15" hidden="0" customHeight="1">
      <x:c r="A52" s="44" t="n">
        <x:v>0.7925172413793103</x:v>
      </x:c>
      <x:c r="B52" s="44" t="n">
        <x:v>23.284563785916106</x:v>
      </x:c>
      <x:c r="C52" s="45" t="n">
        <x:v>0.03045246187157318</x:v>
      </x:c>
      <x:c r="D52" s="45" t="n">
        <x:v>0.0009063361780670106</x:v>
      </x:c>
      <x:c r="E52" s="45" t="n">
        <x:v>0.6554092966761118</x:v>
      </x:c>
      <x:c r="F52" s="46" t="n">
        <x:v>119.20421619096511</x:v>
      </x:c>
      <x:c r="G52" s="44" t="n">
        <x:v>0.3032826399238444</x:v>
      </x:c>
      <x:c r="H52" s="44" t="n">
        <x:v>0.003985280356905485</x:v>
      </x:c>
      <x:c r="I52" s="47" t="n">
        <x:f>Inputs!$B$45</x:f>
        <x:v>1</x:v>
      </x:c>
      <x:c r="J52" s="48" t="n">
        <x:f>(G52*1000000*I52/COS(RADIANS(Inputs!$B$13)))/(Inputs!$B$40*(D52*COS(RADIANS(Inputs!$B$13))*Inputs!$B$47))</x:f>
        <x:v>0.00803646420207857</x:v>
      </x:c>
      <x:c r="K52" s="48" t="n">
        <x:f>K51+0.5*(J51+J52)*((B52-B51)/COS(RADIANS(Inputs!$B$13)))</x:f>
        <x:v>0.14702690499681123</x:v>
      </x:c>
      <x:c r="L52" s="49" t="n">
        <x:f>L51+0.5*(K51+K52)*((B52-B51)/COS(RADIANS(Inputs!$B$13)))</x:f>
        <x:v>1.496298866613226</x:v>
      </x:c>
      <x:c r="M52" s="87" t="n">
        <x:f>ABS(F52*1000*I52)/(Inputs!$B$50*(Inputs!$B$40/(2*(1+Inputs!$B$41)))*(E117*COS(RADIANS(Inputs!$B$13))))</x:f>
        <x:v>0.0012590893136661242</x:v>
      </x:c>
      <x:c r="N52" s="88" t="n">
        <x:f>N51+0.5*(M51+M52)*((B52-B51)/COS(RADIANS(Inputs!$B$13)))</x:f>
        <x:v>0.04344747402176064</x:v>
      </x:c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 ht="15" hidden="0" customHeight="1">
      <x:c r="A53" s="44" t="n">
        <x:v>0.8097241379310346</x:v>
      </x:c>
      <x:c r="B53" s="44" t="n">
        <x:v>23.79011124835235</x:v>
      </x:c>
      <x:c r="C53" s="45" t="n">
        <x:v>0.027871382356363415</x:v>
      </x:c>
      <x:c r="D53" s="45" t="n">
        <x:v>0.0007736832666743055</x:v>
      </x:c>
      <x:c r="E53" s="45" t="n">
        <x:v>0.6028935240644273</x:v>
      </x:c>
      <x:c r="F53" s="46" t="n">
        <x:v>105.01040043523558</x:v>
      </x:c>
      <x:c r="G53" s="44" t="n">
        <x:v>0.24670836615808095</x:v>
      </x:c>
      <x:c r="H53" s="44" t="n">
        <x:v>0.004092431087198058</x:v>
      </x:c>
      <x:c r="I53" s="47" t="n">
        <x:f>Inputs!$B$45</x:f>
        <x:v>1</x:v>
      </x:c>
      <x:c r="J53" s="48" t="n">
        <x:f>(G53*1000000*I53/COS(RADIANS(Inputs!$B$13)))/(Inputs!$B$40*(D53*COS(RADIANS(Inputs!$B$13))*Inputs!$B$47))</x:f>
        <x:v>0.007658213186875931</x:v>
      </x:c>
      <x:c r="K53" s="48" t="n">
        <x:f>K52+0.5*(J52+J53)*((B53-B52)/COS(RADIANS(Inputs!$B$13)))</x:f>
        <x:v>0.15186996458694407</x:v>
      </x:c>
      <x:c r="L53" s="49" t="n">
        <x:f>L52+0.5*(K52+K53)*((B53-B52)/COS(RADIANS(Inputs!$B$13)))</x:f>
        <x:v>1.588532387240866</x:v>
      </x:c>
      <x:c r="M53" s="87" t="n">
        <x:f>ABS(F53*1000*I53)/(Inputs!$B$50*(Inputs!$B$40/(2*(1+Inputs!$B$41)))*(E118*COS(RADIANS(Inputs!$B$13))))</x:f>
        <x:v>0.0011359902889029375</x:v>
      </x:c>
      <x:c r="N53" s="88" t="n">
        <x:f>N52+0.5*(M52+M53)*((B53-B52)/COS(RADIANS(Inputs!$B$13)))</x:f>
        <x:v>0.04418654708142844</x:v>
      </x:c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 ht="15" hidden="0" customHeight="1">
      <x:c r="A54" s="44" t="n">
        <x:v>0.8269310344827586</x:v>
      </x:c>
      <x:c r="B54" s="44" t="n">
        <x:v>24.29565871078859</x:v>
      </x:c>
      <x:c r="C54" s="45" t="n">
        <x:v>0.025378763327473026</x:v>
      </x:c>
      <x:c r="D54" s="45" t="n">
        <x:v>0.0006558158464223069</x:v>
      </x:c>
      <x:c r="E54" s="45" t="n">
        <x:v>0.5525786519869911</x:v>
      </x:c>
      <x:c r="F54" s="46" t="n">
        <x:v>91.8654476719544</x:v>
      </x:c>
      <x:c r="G54" s="44" t="n">
        <x:v>0.19695791342483715</x:v>
      </x:c>
      <x:c r="H54" s="44" t="n">
        <x:v>0.00416029214022904</x:v>
      </x:c>
      <x:c r="I54" s="47" t="n">
        <x:f>Inputs!$B$45</x:f>
        <x:v>1</x:v>
      </x:c>
      <x:c r="J54" s="48" t="n">
        <x:f>(G54*1000000*I54/COS(RADIANS(Inputs!$B$13)))/(Inputs!$B$40*(D54*COS(RADIANS(Inputs!$B$13))*Inputs!$B$47))</x:f>
        <x:v>0.007212707279891348</x:v>
      </x:c>
      <x:c r="K54" s="48" t="n">
        <x:f>K53+0.5*(J53+J54)*((B54-B53)/COS(RADIANS(Inputs!$B$13)))</x:f>
        <x:v>0.15645882947379838</x:v>
      </x:c>
      <x:c r="L54" s="49" t="n">
        <x:f>L53+0.5*(K53+K54)*((B54-B53)/COS(RADIANS(Inputs!$B$13)))</x:f>
        <x:v>1.6836764087446705</x:v>
      </x:c>
      <x:c r="M54" s="87" t="n">
        <x:f>ABS(F54*1000*I54)/(Inputs!$B$50*(Inputs!$B$40/(2*(1+Inputs!$B$41)))*(E119*COS(RADIANS(Inputs!$B$13))))</x:f>
        <x:v>0.001029472387443842</x:v>
      </x:c>
      <x:c r="N54" s="88" t="n">
        <x:f>N53+0.5*(M53+M54)*((B54-B53)/COS(RADIANS(Inputs!$B$13)))</x:f>
        <x:v>0.044854765007917116</x:v>
      </x:c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 ht="15" hidden="0" customHeight="1">
      <x:c r="A55" s="44" t="n">
        <x:v>0.8441379310344828</x:v>
      </x:c>
      <x:c r="B55" s="44" t="n">
        <x:v>24.80120617322483</x:v>
      </x:c>
      <x:c r="C55" s="45" t="n">
        <x:v>0.022930900623559843</x:v>
      </x:c>
      <x:c r="D55" s="45" t="n">
        <x:v>0.0005488760777439703</x:v>
      </x:c>
      <x:c r="E55" s="45" t="n">
        <x:v>0.50437052439122</x:v>
      </x:c>
      <x:c r="F55" s="46" t="n">
        <x:v>80.66328370023619</x:v>
      </x:c>
      <x:c r="G55" s="44" t="n">
        <x:v>0.15353382418492087</x:v>
      </x:c>
      <x:c r="H55" s="44" t="n">
        <x:v>0.0029923341526566574</x:v>
      </x:c>
      <x:c r="I55" s="47" t="n">
        <x:f>Inputs!$B$45</x:f>
        <x:v>1</x:v>
      </x:c>
      <x:c r="J55" s="48" t="n">
        <x:f>(G55*1000000*I55/COS(RADIANS(Inputs!$B$13)))/(Inputs!$B$40*(D55*COS(RADIANS(Inputs!$B$13))*Inputs!$B$47))</x:f>
        <x:v>0.006717946536149358</x:v>
      </x:c>
      <x:c r="K55" s="48" t="n">
        <x:f>K54+0.5*(J54+J55)*((B55-B54)/COS(RADIANS(Inputs!$B$13)))</x:f>
        <x:v>0.1607575471147279</x:v>
      </x:c>
      <x:c r="L55" s="49" t="n">
        <x:f>L54+0.5*(K54+K55)*((B55-B54)/COS(RADIANS(Inputs!$B$13)))</x:f>
        <x:v>1.7815629582232502</x:v>
      </x:c>
      <x:c r="M55" s="87" t="n">
        <x:f>ABS(F55*1000*I55)/(Inputs!$B$50*(Inputs!$B$40/(2*(1+Inputs!$B$41)))*(E120*COS(RADIANS(Inputs!$B$13))))</x:f>
        <x:v>0.0009498308914454114</x:v>
      </x:c>
      <x:c r="N55" s="88" t="n">
        <x:f>N54+0.5*(M54+M55)*((B55-B54)/COS(RADIANS(Inputs!$B$13)))</x:f>
        <x:v>0.04546553791449194</x:v>
      </x:c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 ht="15" hidden="0" customHeight="1">
      <x:c r="A56" s="44" t="n">
        <x:v>0.861344827586207</x:v>
      </x:c>
      <x:c r="B56" s="44" t="n">
        <x:v>25.306753635661074</x:v>
      </x:c>
      <x:c r="C56" s="45" t="n">
        <x:v>0.02054374977201371</x:v>
      </x:c>
      <x:c r="D56" s="45" t="n">
        <x:v>0.0004524438993170907</x:v>
      </x:c>
      <x:c r="E56" s="45" t="n">
        <x:v>0.4583703364938003</x:v>
      </x:c>
      <x:c r="F56" s="46" t="n">
        <x:v>68.33294237596192</x:v>
      </x:c>
      <x:c r="G56" s="44" t="n">
        <x:v>0.11582188365974182</x:v>
      </x:c>
      <x:c r="H56" s="44" t="n">
        <x:v>0.002606492493837692</x:v>
      </x:c>
      <x:c r="I56" s="47" t="n">
        <x:f>Inputs!$B$45</x:f>
        <x:v>1</x:v>
      </x:c>
      <x:c r="J56" s="48" t="n">
        <x:f>(G56*1000000*I56/COS(RADIANS(Inputs!$B$13)))/(Inputs!$B$40*(D56*COS(RADIANS(Inputs!$B$13))*Inputs!$B$47))</x:f>
        <x:v>0.0061479831125055935</x:v>
      </x:c>
      <x:c r="K56" s="48" t="n">
        <x:f>K55+0.5*(J55+J56)*((B56-B55)/COS(RADIANS(Inputs!$B$13)))</x:f>
        <x:v>0.16472771244063292</x:v>
      </x:c>
      <x:c r="L56" s="49" t="n">
        <x:f>L55+0.5*(K55+K56)*((B56-B55)/COS(RADIANS(Inputs!$B$13)))</x:f>
        <x:v>1.882001117522138</x:v>
      </x:c>
      <x:c r="M56" s="87" t="n">
        <x:f>ABS(F56*1000*I56)/(Inputs!$B$50*(Inputs!$B$40/(2*(1+Inputs!$B$41)))*(E121*COS(RADIANS(Inputs!$B$13))))</x:f>
        <x:v>0.000861661959047871</x:v>
      </x:c>
      <x:c r="N56" s="88" t="n">
        <x:f>N55+0.5*(M55+M56)*((B56-B55)/COS(RADIANS(Inputs!$B$13)))</x:f>
        <x:v>0.046024527921397905</x:v>
      </x:c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 ht="15" hidden="0" customHeight="1">
      <x:c r="A57" s="44" t="n">
        <x:v>0.8785517241379311</x:v>
      </x:c>
      <x:c r="B57" s="44" t="n">
        <x:v>25.812301098097315</x:v>
      </x:c>
      <x:c r="C57" s="45" t="n">
        <x:v>0.017196736894652214</x:v>
      </x:c>
      <x:c r="D57" s="45" t="n">
        <x:v>0.00036129602487243196</x:v>
      </x:c>
      <x:c r="E57" s="45" t="n">
        <x:v>0.4143829149510907</x:v>
      </x:c>
      <x:c r="F57" s="46" t="n">
        <x:v>56.43428459787017</x:v>
      </x:c>
      <x:c r="G57" s="44" t="n">
        <x:v>0.08412436209821268</x:v>
      </x:c>
      <x:c r="H57" s="44" t="n">
        <x:v>0.0021469030449129114</x:v>
      </x:c>
      <x:c r="I57" s="47" t="n">
        <x:f>Inputs!$B$45</x:f>
        <x:v>1</x:v>
      </x:c>
      <x:c r="J57" s="48" t="n">
        <x:f>(G57*1000000*I57/COS(RADIANS(Inputs!$B$13)))/(Inputs!$B$40*(D57*COS(RADIANS(Inputs!$B$13))*Inputs!$B$47))</x:f>
        <x:v>0.005591977039062042</x:v>
      </x:c>
      <x:c r="K57" s="48" t="n">
        <x:f>K56+0.5*(J56+J57)*((B57-B56)/COS(RADIANS(Inputs!$B$13)))</x:f>
        <x:v>0.16835042638312156</x:v>
      </x:c>
      <x:c r="L57" s="49" t="n">
        <x:f>L56+0.5*(K56+K57)*((B57-B56)/COS(RADIANS(Inputs!$B$13)))</x:f>
        <x:v>1.9847822855905712</x:v>
      </x:c>
      <x:c r="M57" s="87" t="n">
        <x:f>ABS(F57*1000*I57)/(Inputs!$B$50*(Inputs!$B$40/(2*(1+Inputs!$B$41)))*(E122*COS(RADIANS(Inputs!$B$13))))</x:f>
        <x:v>0.0010297016039858137</x:v>
      </x:c>
      <x:c r="N57" s="88" t="n">
        <x:f>N56+0.5*(M56+M57)*((B57-B56)/COS(RADIANS(Inputs!$B$13)))</x:f>
        <x:v>0.04660816441263439</x:v>
      </x:c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 ht="15" hidden="0" customHeight="1">
      <x:c r="A58" s="44" t="n">
        <x:v>0.8957586206896552</x:v>
      </x:c>
      <x:c r="B58" s="44" t="n">
        <x:v>26.317848560533555</x:v>
      </x:c>
      <x:c r="C58" s="45" t="n">
        <x:v>0.01674592227808677</x:v>
      </x:c>
      <x:c r="D58" s="45" t="n">
        <x:v>0.0003077369537371802</x:v>
      </x:c>
      <x:c r="E58" s="45" t="n">
        <x:v>0.3722848508329122</x:v>
      </x:c>
      <x:c r="F58" s="46" t="n">
        <x:v>45.282053220840275</x:v>
      </x:c>
      <x:c r="G58" s="44" t="n">
        <x:v>0.05811892347029141</x:v>
      </x:c>
      <x:c r="H58" s="44" t="n">
        <x:v>0.0021510415462074853</x:v>
      </x:c>
      <x:c r="I58" s="47" t="n">
        <x:f>Inputs!$B$45</x:f>
        <x:v>1</x:v>
      </x:c>
      <x:c r="J58" s="48" t="n">
        <x:f>(G58*1000000*I58/COS(RADIANS(Inputs!$B$13)))/(Inputs!$B$40*(D58*COS(RADIANS(Inputs!$B$13))*Inputs!$B$47))</x:f>
        <x:v>0.004535703842214289</x:v>
      </x:c>
      <x:c r="K58" s="48" t="n">
        <x:f>K57+0.5*(J57+J58)*((B58-B57)/COS(RADIANS(Inputs!$B$13)))</x:f>
        <x:v>0.17147562359503682</x:v>
      </x:c>
      <x:c r="L58" s="49" t="n">
        <x:f>L57+0.5*(K57+K58)*((B58-B57)/COS(RADIANS(Inputs!$B$13)))</x:f>
        <x:v>2.0896457223810554</x:v>
      </x:c>
      <x:c r="M58" s="87" t="n">
        <x:f>ABS(F58*1000*I58)/(Inputs!$B$50*(Inputs!$B$40/(2*(1+Inputs!$B$41)))*(E123*COS(RADIANS(Inputs!$B$13))))</x:f>
        <x:v>0.0005711066597638496</x:v>
      </x:c>
      <x:c r="N58" s="88" t="n">
        <x:f>N57+0.5*(M57+M58)*((B58-B57)/COS(RADIANS(Inputs!$B$13)))</x:f>
        <x:v>0.0471021414229024</x:v>
      </x:c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 ht="15" hidden="0" customHeight="1">
      <x:c r="A59" s="44" t="n">
        <x:v>0.9129655172413793</x:v>
      </x:c>
      <x:c r="B59" s="44" t="n">
        <x:v>26.823396022969796</x:v>
      </x:c>
      <x:c r="C59" s="45" t="n">
        <x:v>0.015163893046630406</x:v>
      </x:c>
      <x:c r="D59" s="45" t="n">
        <x:v>0.00025733394276892797</x:v>
      </x:c>
      <x:c r="E59" s="45" t="n">
        <x:v>0.3320289336009097</x:v>
      </x:c>
      <x:c r="F59" s="46" t="n">
        <x:v>35.40077077787288</x:v>
      </x:c>
      <x:c r="G59" s="44" t="n">
        <x:v>0.03763198032260938</x:v>
      </x:c>
      <x:c r="H59" s="44" t="n">
        <x:v>0.001718341212953474</x:v>
      </x:c>
      <x:c r="I59" s="47" t="n">
        <x:f>Inputs!$B$45</x:f>
        <x:v>1</x:v>
      </x:c>
      <x:c r="J59" s="48" t="n">
        <x:f>(G59*1000000*I59/COS(RADIANS(Inputs!$B$13)))/(Inputs!$B$40*(D59*COS(RADIANS(Inputs!$B$13))*Inputs!$B$47))</x:f>
        <x:v>0.003512099227790781</x:v>
      </x:c>
      <x:c r="K59" s="48" t="n">
        <x:f>K58+0.5*(J58+J59)*((B59-B58)/COS(RADIANS(Inputs!$B$13)))</x:f>
        <x:v>0.17395901263654198</x:v>
      </x:c>
      <x:c r="L59" s="49" t="n">
        <x:f>L58+0.5*(K58+K59)*((B59-B58)/COS(RADIANS(Inputs!$B$13)))</x:f>
        <x:v>2.1962398553030082</x:v>
      </x:c>
      <x:c r="M59" s="87" t="n">
        <x:f>ABS(F59*1000*I59)/(Inputs!$B$50*(Inputs!$B$40/(2*(1+Inputs!$B$41)))*(E124*COS(RADIANS(Inputs!$B$13))))</x:f>
        <x:v>0.00046306088174560513</x:v>
      </x:c>
      <x:c r="N59" s="88" t="n">
        <x:f>N58+0.5*(M58+M59)*((B59-B58)/COS(RADIANS(Inputs!$B$13)))</x:f>
        <x:v>0.04742126458202107</x:v>
      </x:c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 ht="15" hidden="0" customHeight="1">
      <x:c r="A60" s="44" t="n">
        <x:v>0.9301724137931036</x:v>
      </x:c>
      <x:c r="B60" s="44" t="n">
        <x:v>27.32894348540604</x:v>
      </x:c>
      <x:c r="C60" s="45" t="n">
        <x:v>0.013654961316815714</x:v>
      </x:c>
      <x:c r="D60" s="45" t="n">
        <x:v>0.00021244487595710725</x:v>
      </x:c>
      <x:c r="E60" s="45" t="n">
        <x:v>0.29370704658472846</x:v>
      </x:c>
      <x:c r="F60" s="46" t="n">
        <x:v>25.63036653621221</x:v>
      </x:c>
      <x:c r="G60" s="44" t="n">
        <x:v>0.02220680581332939</x:v>
      </x:c>
      <x:c r="H60" s="44" t="n">
        <x:v>0.0013862287481362808</x:v>
      </x:c>
      <x:c r="I60" s="47" t="n">
        <x:f>Inputs!$B$45</x:f>
        <x:v>1</x:v>
      </x:c>
      <x:c r="J60" s="48" t="n">
        <x:f>(G60*1000000*I60/COS(RADIANS(Inputs!$B$13)))/(Inputs!$B$40*(D60*COS(RADIANS(Inputs!$B$13))*Inputs!$B$47))</x:f>
        <x:v>0.0025104213112688615</x:v>
      </x:c>
      <x:c r="K60" s="48" t="n">
        <x:f>K59+0.5*(J59+J60)*((B60-B59)/COS(RADIANS(Inputs!$B$13)))</x:f>
        <x:v>0.17581744050546982</x:v>
      </x:c>
      <x:c r="L60" s="49" t="n">
        <x:f>L59+0.5*(K59+K60)*((B60-B59)/COS(RADIANS(Inputs!$B$13)))</x:f>
        <x:v>2.3041737849920794</x:v>
      </x:c>
      <x:c r="M60" s="87" t="n">
        <x:f>ABS(F60*1000*I60)/(Inputs!$B$50*(Inputs!$B$40/(2*(1+Inputs!$B$41)))*(E125*COS(RADIANS(Inputs!$B$13))))</x:f>
        <x:v>0.00035519089043988347</x:v>
      </x:c>
      <x:c r="N60" s="88" t="n">
        <x:f>N59+0.5*(M59+M60)*((B60-B59)/COS(RADIANS(Inputs!$B$13)))</x:f>
        <x:v>0.04767376050750056</x:v>
      </x:c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 ht="15" hidden="0" customHeight="1">
      <x:c r="A61" s="44" t="n">
        <x:v>0.9473793103448276</x:v>
      </x:c>
      <x:c r="B61" s="44" t="n">
        <x:v>27.83449094784228</x:v>
      </x:c>
      <x:c r="C61" s="45" t="n">
        <x:v>0.012165358985917696</x:v>
      </x:c>
      <x:c r="D61" s="45" t="n">
        <x:v>0.000171512417161987</x:v>
      </x:c>
      <x:c r="E61" s="45" t="n">
        <x:v>0.257323204313991</x:v>
      </x:c>
      <x:c r="F61" s="46" t="n">
        <x:v>16.987888088549127</x:v>
      </x:c>
      <x:c r="G61" s="44" t="n">
        <x:v>0.011375131388175447</x:v>
      </x:c>
      <x:c r="H61" s="44" t="n">
        <x:v>0.0006859822849404106</x:v>
      </x:c>
      <x:c r="I61" s="47" t="n">
        <x:f>Inputs!$B$45</x:f>
        <x:v>1</x:v>
      </x:c>
      <x:c r="J61" s="48" t="n">
        <x:f>(G61*1000000*I61/COS(RADIANS(Inputs!$B$13)))/(Inputs!$B$40*(D61*COS(RADIANS(Inputs!$B$13))*Inputs!$B$47))</x:f>
        <x:v>0.0015928234205291407</x:v>
      </x:c>
      <x:c r="K61" s="48" t="n">
        <x:f>K60+0.5*(J60+J61)*((B61-B60)/COS(RADIANS(Inputs!$B$13)))</x:f>
        <x:v>0.1770836187298774</x:v>
      </x:c>
      <x:c r="L61" s="49" t="n">
        <x:f>L60+0.5*(K60+K61)*((B61-B60)/COS(RADIANS(Inputs!$B$13)))</x:f>
        <x:v>2.413071904841335</x:v>
      </x:c>
      <x:c r="M61" s="87" t="n">
        <x:f>ABS(F61*1000*I61)/(Inputs!$B$50*(Inputs!$B$40/(2*(1+Inputs!$B$41)))*(E126*COS(RADIANS(Inputs!$B$13))))</x:f>
        <x:v>0.00025693879329972394</x:v>
      </x:c>
      <x:c r="N61" s="88" t="n">
        <x:f>N60+0.5*(M60+M61)*((B61-B60)/COS(RADIANS(Inputs!$B$13)))</x:f>
        <x:v>0.047862651330916044</x:v>
      </x:c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 ht="15" hidden="0" customHeight="1">
      <x:c r="A62" s="44" t="n">
        <x:v>0.9645862068965518</x:v>
      </x:c>
      <x:c r="B62" s="44" t="n">
        <x:v>28.340038410278524</x:v>
      </x:c>
      <x:c r="C62" s="45" t="n">
        <x:v>0.01015287825548587</x:v>
      </x:c>
      <x:c r="D62" s="45" t="n">
        <x:v>0.00013844873368366585</x:v>
      </x:c>
      <x:c r="E62" s="45" t="n">
        <x:v>0.22359707268826412</x:v>
      </x:c>
      <x:c r="F62" s="46" t="n">
        <x:v>10.12111490009436</x:v>
      </x:c>
      <x:c r="G62" s="44" t="n">
        <x:v>0.004573895862343916</x:v>
      </x:c>
      <x:c r="H62" s="44" t="n">
        <x:v>-0.00014937681144475349</x:v>
      </x:c>
      <x:c r="I62" s="47" t="n">
        <x:f>Inputs!$B$45</x:f>
        <x:v>1</x:v>
      </x:c>
      <x:c r="J62" s="48" t="n">
        <x:f>(G62*1000000*I62/COS(RADIANS(Inputs!$B$13)))/(Inputs!$B$40*(D62*COS(RADIANS(Inputs!$B$13))*Inputs!$B$47))</x:f>
        <x:v>0.0007934216801764505</x:v>
      </x:c>
      <x:c r="K62" s="48" t="n">
        <x:f>K61+0.5*(J61+J62)*((B62-B61)/COS(RADIANS(Inputs!$B$13)))</x:f>
        <x:v>0.17781996564118843</x:v>
      </x:c>
      <x:c r="L62" s="49" t="n">
        <x:f>L61+0.5*(K61+K62)*((B62-B61)/COS(RADIANS(Inputs!$B$13)))</x:f>
        <x:v>2.52258796339189</x:v>
      </x:c>
      <x:c r="M62" s="87" t="n">
        <x:f>ABS(F62*1000*I62)/(Inputs!$B$50*(Inputs!$B$40/(2*(1+Inputs!$B$41)))*(E127*COS(RADIANS(Inputs!$B$13))))</x:f>
        <x:v>0.0002190245095168066</x:v>
      </x:c>
      <x:c r="N62" s="88" t="n">
        <x:f>N61+0.5*(M61+M62)*((B62-B61)/COS(RADIANS(Inputs!$B$13)))</x:f>
        <x:v>0.048009523966850515</x:v>
      </x:c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 ht="15" hidden="0" customHeight="1">
      <x:c r="A63" s="44" t="n">
        <x:v>0.981793103448276</x:v>
      </x:c>
      <x:c r="B63" s="44" t="n">
        <x:v>28.845585872714764</x:v>
      </x:c>
      <x:c r="C63" s="45" t="n">
        <x:v>0.009248385183542877</x:v>
      </x:c>
      <x:c r="D63" s="45" t="n">
        <x:v>0.00011371108140896424</x:v>
      </x:c>
      <x:c r="E63" s="45" t="n">
        <x:v>0.19128498676063543</x:v>
      </x:c>
      <x:c r="F63" s="46" t="n">
        <x:v>3.868555679413434</x:v>
      </x:c>
      <x:c r="G63" s="44" t="n">
        <x:v>0.001189445810924644</x:v>
      </x:c>
      <x:c r="H63" s="44" t="n">
        <x:v>-0.0005074170241867506</x:v>
      </x:c>
      <x:c r="I63" s="47" t="n">
        <x:f>Inputs!$B$45</x:f>
        <x:v>1</x:v>
      </x:c>
      <x:c r="J63" s="48" t="n">
        <x:f>(G63*1000000*I63/COS(RADIANS(Inputs!$B$13)))/(Inputs!$B$40*(D63*COS(RADIANS(Inputs!$B$13))*Inputs!$B$47))</x:f>
        <x:v>0.00025121678314356607</x:v>
      </x:c>
      <x:c r="K63" s="48" t="n">
        <x:f>K62+0.5*(J62+J63)*((B63-B62)/COS(RADIANS(Inputs!$B$13)))</x:f>
        <x:v>0.1781423199147184</x:v>
      </x:c>
      <x:c r="L63" s="49" t="n">
        <x:f>L62+0.5*(K62+K63)*((B63-B62)/COS(RADIANS(Inputs!$B$13)))</x:f>
        <x:v>2.632430715687034</x:v>
      </x:c>
      <x:c r="M63" s="87" t="n">
        <x:f>ABS(F63*1000*I63)/(Inputs!$B$50*(Inputs!$B$40/(2*(1+Inputs!$B$41)))*(E128*COS(RADIANS(Inputs!$B$13))))</x:f>
        <x:v>0.00008714363866125892</x:v>
      </x:c>
      <x:c r="N63" s="88" t="n">
        <x:f>N62+0.5*(M62+M63)*((B63-B62)/COS(RADIANS(Inputs!$B$13)))</x:f>
        <x:v>0.04810400125679281</x:v>
      </x:c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 ht="15" hidden="0" customHeight="1">
      <x:c r="A64" s="44" t="n">
        <x:v>0.999</x:v>
      </x:c>
      <x:c r="B64" s="44" t="n">
        <x:v>29.351133335151005</x:v>
      </x:c>
      <x:c r="C64" s="45" t="n">
        <x:v>0.008358098905873922</x:v>
      </x:c>
      <x:c r="D64" s="45" t="n">
        <x:v>0.00009148568165395137</x:v>
      </x:c>
      <x:c r="E64" s="45" t="n">
        <x:v>0.1605097354164684</x:v>
      </x:c>
      <x:c r="F64" s="46" t="n">
        <x:v>1.23045178091861</x:v>
      </x:c>
      <x:c r="G64" s="44" t="n">
        <x:v>0.00003613777566514586</x:v>
      </x:c>
      <x:c r="H64" s="44" t="n">
        <x:v>-0.0003429330495290046</x:v>
      </x:c>
      <x:c r="I64" s="47" t="n">
        <x:f>Inputs!$B$45</x:f>
        <x:v>1</x:v>
      </x:c>
      <x:c r="J64" s="48" t="n">
        <x:f>(G64*1000000*I64/COS(RADIANS(Inputs!$B$13)))/(Inputs!$B$40*(D64*COS(RADIANS(Inputs!$B$13))*Inputs!$B$47))</x:f>
        <x:v>0.000009486697837156679</x:v>
      </x:c>
      <x:c r="K64" s="48" t="n">
        <x:f>K63+0.5*(J63+J64)*((B64-B63)/COS(RADIANS(Inputs!$B$13)))</x:f>
        <x:v>0.17822276772912415</x:v>
      </x:c>
      <x:c r="L64" s="49" t="n">
        <x:f>L63+0.5*(K63+K64)*((B64-B63)/COS(RADIANS(Inputs!$B$13)))</x:f>
        <x:v>2.7423977645488775</x:v>
      </x:c>
      <x:c r="M64" s="87" t="n">
        <x:f>ABS(F64*1000*I64)/(Inputs!$B$50*(Inputs!$B$40/(2*(1+Inputs!$B$41)))*(E129*COS(RADIANS(Inputs!$B$13))))</x:f>
        <x:v>0.00002899547641440152</x:v>
      </x:c>
      <x:c r="N64" s="88" t="n">
        <x:f>N63+0.5*(M63+M64)*((B64-B63)/COS(RADIANS(Inputs!$B$13)))</x:f>
        <x:v>0.04813983943562996</x:v>
      </x:c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 ht="15" hidden="0" customHeight="1">
      <x:c r="A65" s="44" t="n">
        <x:v>1</x:v>
      </x:c>
      <x:c r="B65" s="44" t="n">
        <x:v>29.380513849000003</x:v>
      </x:c>
      <x:c r="C65" s="45" t="n">
        <x:v>0.008358098905873922</x:v>
      </x:c>
      <x:c r="D65" s="45" t="n">
        <x:v>0.00009148568165395137</x:v>
      </x:c>
      <x:c r="E65" s="45" t="n">
        <x:v>0.1605097354164684</x:v>
      </x:c>
      <x:c r="F65" s="46" t="n">
        <x:v>0.06352114</x:v>
      </x:c>
      <x:c r="G65" s="44" t="n">
        <x:v>0</x:v>
      </x:c>
      <x:c r="H65" s="44" t="n">
        <x:v>0.00001189465390889049</x:v>
      </x:c>
      <x:c r="I65" s="47" t="n">
        <x:f>Inputs!$B$45</x:f>
        <x:v>1</x:v>
      </x:c>
      <x:c r="J65" s="48" t="n">
        <x:f>(G65*1000000*I65/COS(RADIANS(Inputs!$B$13)))/(Inputs!$B$40*(D65*COS(RADIANS(Inputs!$B$13))*Inputs!$B$47))</x:f>
        <x:v>0</x:v>
      </x:c>
      <x:c r="K65" s="48" t="n">
        <x:f>K64+0.5*(J64+J65)*((B65-B64)/COS(RADIANS(Inputs!$B$13)))</x:f>
        <x:v>0.1782229378587473</x:v>
      </x:c>
      <x:c r="L65" s="49" t="n">
        <x:f>L64+0.5*(K64+K65)*((B65-B64)/COS(RADIANS(Inputs!$B$13)))</x:f>
        <x:v>2.748790080885297</x:v>
      </x:c>
      <x:c r="M65" s="87" t="n">
        <x:f>ABS(F65*1000*I65)/(Inputs!$B$50*(Inputs!$B$40/(2*(1+Inputs!$B$41)))*(E130*COS(RADIANS(Inputs!$B$13))))</x:f>
        <x:v>0.0000014968694793637974</x:v>
      </x:c>
      <x:c r="N65" s="88" t="n">
        <x:f>N64+0.5*(M64+M65)*((B65-B64)/COS(RADIANS(Inputs!$B$13)))</x:f>
        <x:v>0.04814038626988196</x:v>
      </x:c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 ht="15" hidden="0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 ht="15" hidden="0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 ht="15" hidden="0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 ht="15" hidden="0" customHeight="1">
      <x:c r="A69" s="12" t="str">
        <x:v>Span ratio η</x:v>
      </x:c>
      <x:c r="B69" s="12" t="str">
        <x:v>Span y (m)</x:v>
      </x:c>
      <x:c r="C69" s="12" t="str">
        <x:v>c top (m)</x:v>
      </x:c>
      <x:c r="D69" s="12" t="str">
        <x:v>c bottom (m)</x:v>
      </x:c>
      <x:c r="E69" s="12" t="str">
        <x:v>Spar area (m²)</x:v>
      </x:c>
      <x:c r="F69" s="12" t="str">
        <x:v>Minimum t (m)</x:v>
      </x:c>
      <x:c r="G69" s="12" t="str">
        <x:v>σ top swept (MPa)</x:v>
      </x:c>
      <x:c r="H69" s="12" t="str">
        <x:v>σ bottom swept (MPa)</x:v>
      </x:c>
      <x:c r="I69" s="12" t="str">
        <x:v>τ shear (MPa)</x:v>
      </x:c>
      <x:c r="J69" s="12" t="str">
        <x:v>τ torsion (MPa)</x:v>
      </x:c>
      <x:c r="K69" s="12" t="str">
        <x:v>Nominal VM (MPa)</x:v>
      </x:c>
      <x:c r="L69" s="12" t="str">
        <x:v>Yield FoS</x:v>
      </x:c>
      <x:c r="M69" s="12" t="str">
        <x:v>Skin t avg (m)</x:v>
      </x:c>
      <x:c r="N69" s="12" t="str">
        <x:v>Axial force raw (kN)</x:v>
      </x:c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 ht="15" hidden="0" customHeight="1">
      <x:c r="A70" s="44" t="n">
        <x:v>0</x:v>
      </x:c>
      <x:c r="B70" s="44" t="n">
        <x:v>0</x:v>
      </x:c>
      <x:c r="C70" s="45" t="n">
        <x:v>1.3839729560984422</x:v>
      </x:c>
      <x:c r="D70" s="45" t="n">
        <x:v>0.9960762702793517</x:v>
      </x:c>
      <x:c r="E70" s="45" t="n">
        <x:v>0.037683982602757106</x:v>
      </x:c>
      <x:c r="F70" s="45" t="n">
        <x:v>0.006516594496</x:v>
      </x:c>
      <x:c r="G70" s="52" t="n">
        <x:f>((N70*1000*I5/(C5*COS(RADIANS(Inputs!$B$13))))-((G5*1000000*I5/COS(RADIANS(Inputs!$B$13)))*C70/(D5*COS(RADIANS(Inputs!$B$13))*Inputs!$B$47)))/1000000</x:f>
        <x:v>-113.01206547196209</x:v>
      </x:c>
      <x:c r="H70" s="52" t="n">
        <x:f>((N70*1000*I5/(C5*COS(RADIANS(Inputs!$B$13))))+((G5*1000000*I5/COS(RADIANS(Inputs!$B$13)))*D70/(D5*COS(RADIANS(Inputs!$B$13))*Inputs!$B$47)))/1000000</x:f>
        <x:v>81.01691212336193</x:v>
      </x:c>
      <x:c r="I70" s="52" t="n">
        <x:f>ABS(F5*1000*I5)/(E70*COS(RADIANS(Inputs!$B$13)))/1000000</x:f>
        <x:v>20.480479554111643</x:v>
      </x:c>
      <x:c r="J70" s="52" t="n">
        <x:f>ABS(H5*1000000*I5/COS(RADIANS(Inputs!$B$13)))/(2*(E5*COS(RADIANS(Inputs!$B$13)))*F70)/1000000</x:f>
        <x:v>3.088426694902541</x:v>
      </x:c>
      <x:c r="K70" s="52" t="n">
        <x:f>SQRT(MAX(ABS(G70),ABS(H70))^2+3*(I70+J70)^2)</x:f>
        <x:v>120.1590902410779</x:v>
      </x:c>
      <x:c r="L70" s="47" t="n">
        <x:f>Inputs!$B$43/1000000/K70</x:f>
        <x:v>3.4953660114881404</x:v>
      </x:c>
      <x:c r="M70" s="45" t="n">
        <x:v>0.019245662438908507</x:v>
      </x:c>
      <x:c r="N70" s="46" t="n">
        <x:v>-40.821007146869995</x:v>
      </x:c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 ht="15" hidden="0" customHeight="1">
      <x:c r="A71" s="44" t="n">
        <x:v>0.001</x:v>
      </x:c>
      <x:c r="B71" s="44" t="n">
        <x:v>0.029380513849000003</x:v>
      </x:c>
      <x:c r="C71" s="45" t="n">
        <x:v>1.3839729560984422</x:v>
      </x:c>
      <x:c r="D71" s="45" t="n">
        <x:v>0.9960762702793517</x:v>
      </x:c>
      <x:c r="E71" s="45" t="n">
        <x:v>0.037683982602757106</x:v>
      </x:c>
      <x:c r="F71" s="45" t="n">
        <x:v>0.006516594496</x:v>
      </x:c>
      <x:c r="G71" s="52" t="n">
        <x:f>((N71*1000*I6/(C6*COS(RADIANS(Inputs!$B$13))))-((G6*1000000*I6/COS(RADIANS(Inputs!$B$13)))*C71/(D6*COS(RADIANS(Inputs!$B$13))*Inputs!$B$47)))/1000000</x:f>
        <x:v>-112.81843664893906</x:v>
      </x:c>
      <x:c r="H71" s="52" t="n">
        <x:f>((N71*1000*I6/(C6*COS(RADIANS(Inputs!$B$13))))+((G6*1000000*I6/COS(RADIANS(Inputs!$B$13)))*D71/(D6*COS(RADIANS(Inputs!$B$13))*Inputs!$B$47)))/1000000</x:f>
        <x:v>80.87755313155107</x:v>
      </x:c>
      <x:c r="I71" s="52" t="n">
        <x:f>ABS(F6*1000*I6)/(E71*COS(RADIANS(Inputs!$B$13)))/1000000</x:f>
        <x:v>20.524201649653712</x:v>
      </x:c>
      <x:c r="J71" s="52" t="n">
        <x:f>ABS(H6*1000000*I6/COS(RADIANS(Inputs!$B$13)))/(2*(E6*COS(RADIANS(Inputs!$B$13)))*F71)/1000000</x:f>
        <x:v>3.0886860384262187</x:v>
      </x:c>
      <x:c r="K71" s="52" t="n">
        <x:f>SQRT(MAX(ABS(G71),ABS(H71))^2+3*(I71+J71)^2)</x:f>
        <x:v>120.00293764246068</x:v>
      </x:c>
      <x:c r="L71" s="47" t="n">
        <x:f>Inputs!$B$43/1000000/K71</x:f>
        <x:v>3.4999143208590193</x:v>
      </x:c>
      <x:c r="M71" s="45" t="n">
        <x:v>0.019245662438908507</x:v>
      </x:c>
      <x:c r="N71" s="46" t="n">
        <x:v>-40.821007146869995</x:v>
      </x:c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 ht="15" hidden="0" customHeight="1">
      <x:c r="A72" s="44" t="n">
        <x:v>0.018206896551724135</x:v>
      </x:c>
      <x:c r="B72" s="44" t="n">
        <x:v>0.5349279762852414</x:v>
      </x:c>
      <x:c r="C72" s="45" t="n">
        <x:v>1.331997636149075</x:v>
      </x:c>
      <x:c r="D72" s="45" t="n">
        <x:v>0.9817486239635711</x:v>
      </x:c>
      <x:c r="E72" s="45" t="n">
        <x:v>0.036009758066228206</x:v>
      </x:c>
      <x:c r="F72" s="45" t="n">
        <x:v>0.006516594496</x:v>
      </x:c>
      <x:c r="G72" s="52" t="n">
        <x:f>((N72*1000*I7/(C7*COS(RADIANS(Inputs!$B$13))))-((G7*1000000*I7/COS(RADIANS(Inputs!$B$13)))*C72/(D7*COS(RADIANS(Inputs!$B$13))*Inputs!$B$47)))/1000000</x:f>
        <x:v>-111.27312054473116</x:v>
      </x:c>
      <x:c r="H72" s="52" t="n">
        <x:f>((N72*1000*I7/(C7*COS(RADIANS(Inputs!$B$13))))+((G7*1000000*I7/COS(RADIANS(Inputs!$B$13)))*D72/(D7*COS(RADIANS(Inputs!$B$13))*Inputs!$B$47)))/1000000</x:f>
        <x:v>81.6881266721706</x:v>
      </x:c>
      <x:c r="I72" s="52" t="n">
        <x:f>ABS(F7*1000*I7)/(E72*COS(RADIANS(Inputs!$B$13)))/1000000</x:f>
        <x:v>21.960479662275056</x:v>
      </x:c>
      <x:c r="J72" s="52" t="n">
        <x:f>ABS(H7*1000000*I7/COS(RADIANS(Inputs!$B$13)))/(2*(E7*COS(RADIANS(Inputs!$B$13)))*F72)/1000000</x:f>
        <x:v>3.189305012083164</x:v>
      </x:c>
      <x:c r="K72" s="52" t="n">
        <x:f>SQRT(MAX(ABS(G72),ABS(H72))^2+3*(I72+J72)^2)</x:f>
        <x:v>119.49578387232758</x:v>
      </x:c>
      <x:c r="L72" s="47" t="n">
        <x:f>Inputs!$B$43/1000000/K72</x:f>
        <x:v>3.5147683574237147</x:v>
      </x:c>
      <x:c r="M72" s="45" t="n">
        <x:v>0.019246962446064716</x:v>
      </x:c>
      <x:c r="N72" s="46" t="n">
        <x:v>-40.821007146869995</x:v>
      </x:c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 ht="15" hidden="0" customHeight="1">
      <x:c r="A73" s="44" t="n">
        <x:v>0.03541379310344827</x:v>
      </x:c>
      <x:c r="B73" s="44" t="n">
        <x:v>1.0404754387214827</x:v>
      </x:c>
      <x:c r="C73" s="45" t="n">
        <x:v>1.2749246338270135</x:v>
      </x:c>
      <x:c r="D73" s="45" t="n">
        <x:v>0.9650903208505963</x:v>
      </x:c>
      <x:c r="E73" s="45" t="n">
        <x:v>0.030697366369943514</x:v>
      </x:c>
      <x:c r="F73" s="45" t="n">
        <x:v>0.006864855391</x:v>
      </x:c>
      <x:c r="G73" s="52" t="n">
        <x:f>((N73*1000*I8/(C8*COS(RADIANS(Inputs!$B$13))))-((G8*1000000*I8/COS(RADIANS(Inputs!$B$13)))*C73/(D8*COS(RADIANS(Inputs!$B$13))*Inputs!$B$47)))/1000000</x:f>
        <x:v>-105.93782332646057</x:v>
      </x:c>
      <x:c r="H73" s="52" t="n">
        <x:f>((N73*1000*I8/(C8*COS(RADIANS(Inputs!$B$13))))+((G8*1000000*I8/COS(RADIANS(Inputs!$B$13)))*D73/(D8*COS(RADIANS(Inputs!$B$13))*Inputs!$B$47)))/1000000</x:f>
        <x:v>79.86959125021072</x:v>
      </x:c>
      <x:c r="I73" s="52" t="n">
        <x:f>ABS(F8*1000*I8)/(E73*COS(RADIANS(Inputs!$B$13)))/1000000</x:f>
        <x:v>25.969462590651116</x:v>
      </x:c>
      <x:c r="J73" s="52" t="n">
        <x:f>ABS(H8*1000000*I8/COS(RADIANS(Inputs!$B$13)))/(2*(E8*COS(RADIANS(Inputs!$B$13)))*F73)/1000000</x:f>
        <x:v>3.1135567462087814</x:v>
      </x:c>
      <x:c r="K73" s="52" t="n">
        <x:f>SQRT(MAX(ABS(G73),ABS(H73))^2+3*(I73+J73)^2)</x:f>
        <x:v>117.30425590059755</x:v>
      </x:c>
      <x:c r="L73" s="47" t="n">
        <x:f>Inputs!$B$43/1000000/K73</x:f>
        <x:v>3.5804327539139225</x:v>
      </x:c>
      <x:c r="M73" s="45" t="n">
        <x:v>0.02013596430465973</x:v>
      </x:c>
      <x:c r="N73" s="46" t="n">
        <x:v>-40.821007146869995</x:v>
      </x:c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 ht="15" hidden="0" customHeight="1">
      <x:c r="A74" s="44" t="n">
        <x:v>0.05262068965517241</x:v>
      </x:c>
      <x:c r="B74" s="44" t="n">
        <x:v>1.5460229011577242</x:v>
      </x:c>
      <x:c r="C74" s="45" t="n">
        <x:v>1.2093527897350937</x:v>
      </x:c>
      <x:c r="D74" s="45" t="n">
        <x:v>0.9484264887794467</x:v>
      </x:c>
      <x:c r="E74" s="45" t="n">
        <x:v>0.028980039457738072</x:v>
      </x:c>
      <x:c r="F74" s="45" t="n">
        <x:v>0.006864855391</x:v>
      </x:c>
      <x:c r="G74" s="52" t="n">
        <x:f>((N74*1000*I9/(C9*COS(RADIANS(Inputs!$B$13))))-((G9*1000000*I9/COS(RADIANS(Inputs!$B$13)))*C74/(D9*COS(RADIANS(Inputs!$B$13))*Inputs!$B$47)))/1000000</x:f>
        <x:v>-104.0551561307827</x:v>
      </x:c>
      <x:c r="H74" s="52" t="n">
        <x:f>((N74*1000*I9/(C9*COS(RADIANS(Inputs!$B$13))))+((G9*1000000*I9/COS(RADIANS(Inputs!$B$13)))*D74/(D9*COS(RADIANS(Inputs!$B$13))*Inputs!$B$47)))/1000000</x:f>
        <x:v>81.27437420911029</x:v>
      </x:c>
      <x:c r="I74" s="52" t="n">
        <x:f>ABS(F9*1000*I9)/(E74*COS(RADIANS(Inputs!$B$13)))/1000000</x:f>
        <x:v>28.299632515516585</x:v>
      </x:c>
      <x:c r="J74" s="52" t="n">
        <x:f>ABS(H9*1000000*I9/COS(RADIANS(Inputs!$B$13)))/(2*(E9*COS(RADIANS(Inputs!$B$13)))*F74)/1000000</x:f>
        <x:v>3.3854096243507157</x:v>
      </x:c>
      <x:c r="K74" s="52" t="n">
        <x:f>SQRT(MAX(ABS(G74),ABS(H74))^2+3*(I74+J74)^2)</x:f>
        <x:v>117.64055934760368</x:v>
      </x:c>
      <x:c r="L74" s="47" t="n">
        <x:f>Inputs!$B$43/1000000/K74</x:f>
        <x:v>3.570197237493459</x:v>
      </x:c>
      <x:c r="M74" s="45" t="n">
        <x:v>0.020137225909327906</x:v>
      </x:c>
      <x:c r="N74" s="46" t="n">
        <x:v>-40.821007146869995</x:v>
      </x:c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 ht="15" hidden="0" customHeight="1">
      <x:c r="A75" s="44" t="n">
        <x:v>0.06982758620689654</x:v>
      </x:c>
      <x:c r="B75" s="44" t="n">
        <x:v>2.0515703635939655</x:v>
      </x:c>
      <x:c r="C75" s="45" t="n">
        <x:v>1.1374047016709068</x:v>
      </x:c>
      <x:c r="D75" s="45" t="n">
        <x:v>0.9277329038033355</x:v>
      </x:c>
      <x:c r="E75" s="45" t="n">
        <x:v>0.024945322124138837</x:v>
      </x:c>
      <x:c r="F75" s="45" t="n">
        <x:v>0.008352305436</x:v>
      </x:c>
      <x:c r="G75" s="52" t="n">
        <x:f>((N75*1000*I10/(C10*COS(RADIANS(Inputs!$B$13))))-((G10*1000000*I10/COS(RADIANS(Inputs!$B$13)))*C75/(D10*COS(RADIANS(Inputs!$B$13))*Inputs!$B$47)))/1000000</x:f>
        <x:v>-98.45448116642311</x:v>
      </x:c>
      <x:c r="H75" s="52" t="n">
        <x:f>((N75*1000*I10/(C10*COS(RADIANS(Inputs!$B$13))))+((G10*1000000*I10/COS(RADIANS(Inputs!$B$13)))*D75/(D10*COS(RADIANS(Inputs!$B$13))*Inputs!$B$47)))/1000000</x:f>
        <x:v>79.97725340925848</x:v>
      </x:c>
      <x:c r="I75" s="52" t="n">
        <x:f>ABS(F10*1000*I10)/(E75*COS(RADIANS(Inputs!$B$13)))/1000000</x:f>
        <x:v>33.58437183285596</x:v>
      </x:c>
      <x:c r="J75" s="52" t="n">
        <x:f>ABS(H10*1000000*I10/COS(RADIANS(Inputs!$B$13)))/(2*(E10*COS(RADIANS(Inputs!$B$13)))*F75)/1000000</x:f>
        <x:v>2.894253576821374</x:v>
      </x:c>
      <x:c r="K75" s="52" t="n">
        <x:f>SQRT(MAX(ABS(G75),ABS(H75))^2+3*(I75+J75)^2)</x:f>
        <x:v>116.98442288222921</x:v>
      </x:c>
      <x:c r="L75" s="47" t="n">
        <x:f>Inputs!$B$43/1000000/K75</x:f>
        <x:v>3.5902215837985816</x:v>
      </x:c>
      <x:c r="M75" s="45" t="n">
        <x:v>0.0210308811435066</x:v>
      </x:c>
      <x:c r="N75" s="46" t="n">
        <x:v>-40.821007146869995</x:v>
      </x:c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 ht="15" hidden="0" customHeight="1">
      <x:c r="A76" s="44" t="n">
        <x:v>0.08703448275862069</x:v>
      </x:c>
      <x:c r="B76" s="44" t="n">
        <x:v>2.557117826030207</x:v>
      </x:c>
      <x:c r="C76" s="45" t="n">
        <x:v>1.0487755772187897</x:v>
      </x:c>
      <x:c r="D76" s="45" t="n">
        <x:v>0.9111508816221554</x:v>
      </x:c>
      <x:c r="E76" s="45" t="n">
        <x:v>0.026117915373915373</x:v>
      </x:c>
      <x:c r="F76" s="45" t="n">
        <x:v>0.009638760672</x:v>
      </x:c>
      <x:c r="G76" s="52" t="n">
        <x:f>((N76*1000*I11/(C11*COS(RADIANS(Inputs!$B$13))))-((G11*1000000*I11/COS(RADIANS(Inputs!$B$13)))*C76/(D11*COS(RADIANS(Inputs!$B$13))*Inputs!$B$47)))/1000000</x:f>
        <x:v>-91.21618327075572</x:v>
      </x:c>
      <x:c r="H76" s="52" t="n">
        <x:f>((N76*1000*I11/(C11*COS(RADIANS(Inputs!$B$13))))+((G11*1000000*I11/COS(RADIANS(Inputs!$B$13)))*D76/(D11*COS(RADIANS(Inputs!$B$13))*Inputs!$B$47)))/1000000</x:f>
        <x:v>78.92288523966793</x:v>
      </x:c>
      <x:c r="I76" s="52" t="n">
        <x:f>ABS(F11*1000*I11)/(E76*COS(RADIANS(Inputs!$B$13)))/1000000</x:f>
        <x:v>32.32697066122574</x:v>
      </x:c>
      <x:c r="J76" s="52" t="n">
        <x:f>ABS(H11*1000000*I11/COS(RADIANS(Inputs!$B$13)))/(2*(E11*COS(RADIANS(Inputs!$B$13)))*F76)/1000000</x:f>
        <x:v>2.615227137402544</x:v>
      </x:c>
      <x:c r="K76" s="52" t="n">
        <x:f>SQRT(MAX(ABS(G76),ABS(H76))^2+3*(I76+J76)^2)</x:f>
        <x:v>109.46809421689721</x:v>
      </x:c>
      <x:c r="L76" s="47" t="n">
        <x:f>Inputs!$B$43/1000000/K76</x:f>
        <x:v>3.8367343745641813</x:v>
      </x:c>
      <x:c r="M76" s="45" t="n">
        <x:v>0.021929246787715156</x:v>
      </x:c>
      <x:c r="N76" s="46" t="n">
        <x:v>-40.821007146869995</x:v>
      </x:c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 ht="15" hidden="0" customHeight="1">
      <x:c r="A77" s="44" t="n">
        <x:v>0.10424137931034483</x:v>
      </x:c>
      <x:c r="B77" s="44" t="n">
        <x:v>3.0626652884664485</x:v>
      </x:c>
      <x:c r="C77" s="45" t="n">
        <x:v>0.9656821624686156</x:v>
      </x:c>
      <x:c r="D77" s="45" t="n">
        <x:v>0.8889635984164501</x:v>
      </x:c>
      <x:c r="E77" s="45" t="n">
        <x:v>0.024182223231617776</x:v>
      </x:c>
      <x:c r="F77" s="45" t="n">
        <x:v>0.009638760672</x:v>
      </x:c>
      <x:c r="G77" s="52" t="n">
        <x:f>((N77*1000*I12/(C12*COS(RADIANS(Inputs!$B$13))))-((G12*1000000*I12/COS(RADIANS(Inputs!$B$13)))*C77/(D12*COS(RADIANS(Inputs!$B$13))*Inputs!$B$47)))/1000000</x:f>
        <x:v>-89.12786048819048</x:v>
      </x:c>
      <x:c r="H77" s="52" t="n">
        <x:f>((N77*1000*I12/(C12*COS(RADIANS(Inputs!$B$13))))+((G12*1000000*I12/COS(RADIANS(Inputs!$B$13)))*D77/(D12*COS(RADIANS(Inputs!$B$13))*Inputs!$B$47)))/1000000</x:f>
        <x:v>81.71301442162958</x:v>
      </x:c>
      <x:c r="I77" s="52" t="n">
        <x:f>ABS(F12*1000*I12)/(E77*COS(RADIANS(Inputs!$B$13)))/1000000</x:f>
        <x:v>35.51371543903859</x:v>
      </x:c>
      <x:c r="J77" s="52" t="n">
        <x:f>ABS(H12*1000000*I12/COS(RADIANS(Inputs!$B$13)))/(2*(E12*COS(RADIANS(Inputs!$B$13)))*F77)/1000000</x:f>
        <x:v>2.7479758138760557</x:v>
      </x:c>
      <x:c r="K77" s="52" t="n">
        <x:f>SQRT(MAX(ABS(G77),ABS(H77))^2+3*(I77+J77)^2)</x:f>
        <x:v>111.06595593521193</x:v>
      </x:c>
      <x:c r="L77" s="47" t="n">
        <x:f>Inputs!$B$43/1000000/K77</x:f>
        <x:v>3.7815368036358366</x:v>
      </x:c>
      <x:c r="M77" s="45" t="n">
        <x:v>0.021930202237491543</x:v>
      </x:c>
      <x:c r="N77" s="46" t="n">
        <x:v>-40.75326874637</x:v>
      </x:c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 ht="15" hidden="0" customHeight="1">
      <x:c r="A78" s="44" t="n">
        <x:v>0.12144827586206897</x:v>
      </x:c>
      <x:c r="B78" s="44" t="n">
        <x:v>3.56821275090269</x:v>
      </x:c>
      <x:c r="C78" s="45" t="n">
        <x:v>0.8647374340950273</x:v>
      </x:c>
      <x:c r="D78" s="45" t="n">
        <x:v>0.8652668587022423</x:v>
      </x:c>
      <x:c r="E78" s="45" t="n">
        <x:v>0.04374695116180682</x:v>
      </x:c>
      <x:c r="F78" s="45" t="n">
        <x:v>0.004526111538</x:v>
      </x:c>
      <x:c r="G78" s="52" t="n">
        <x:f>((N78*1000*I13/(C13*COS(RADIANS(Inputs!$B$13))))-((G13*1000000*I13/COS(RADIANS(Inputs!$B$13)))*C78/(D13*COS(RADIANS(Inputs!$B$13))*Inputs!$B$47)))/1000000</x:f>
        <x:v>-102.29533930845689</x:v>
      </x:c>
      <x:c r="H78" s="52" t="n">
        <x:f>((N78*1000*I13/(C13*COS(RADIANS(Inputs!$B$13))))+((G13*1000000*I13/COS(RADIANS(Inputs!$B$13)))*D78/(D13*COS(RADIANS(Inputs!$B$13))*Inputs!$B$47)))/1000000</x:f>
        <x:v>101.996401875446</x:v>
      </x:c>
      <x:c r="I78" s="52" t="n">
        <x:f>ABS(F13*1000*I13)/(E78*COS(RADIANS(Inputs!$B$13)))/1000000</x:f>
        <x:v>19.482243848122742</x:v>
      </x:c>
      <x:c r="J78" s="52" t="n">
        <x:f>ABS(H13*1000000*I13/COS(RADIANS(Inputs!$B$13)))/(2*(E13*COS(RADIANS(Inputs!$B$13)))*F78)/1000000</x:f>
        <x:v>6.669325567690751</x:v>
      </x:c>
      <x:c r="K78" s="52" t="n">
        <x:f>SQRT(MAX(ABS(G78),ABS(H78))^2+3*(I78+J78)^2)</x:f>
        <x:v>111.87515449358119</x:v>
      </x:c>
      <x:c r="L78" s="47" t="n">
        <x:f>Inputs!$B$43/1000000/K78</x:f>
        <x:v>3.7541847597993474</x:v>
      </x:c>
      <x:c r="M78" s="45" t="n">
        <x:v>0.018081903246109574</x:v>
      </x:c>
      <x:c r="N78" s="46" t="n">
        <x:v>-37.77048947074</x:v>
      </x:c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 ht="15" hidden="0" customHeight="1">
      <x:c r="A79" s="44" t="n">
        <x:v>0.13865517241379308</x:v>
      </x:c>
      <x:c r="B79" s="44" t="n">
        <x:v>4.073760213338931</x:v>
      </x:c>
      <x:c r="C79" s="45" t="n">
        <x:v>0.8093565084015415</x:v>
      </x:c>
      <x:c r="D79" s="45" t="n">
        <x:v>0.8083420749492922</x:v>
      </x:c>
      <x:c r="E79" s="45" t="n">
        <x:v>0.03694017418419353</x:v>
      </x:c>
      <x:c r="F79" s="45" t="n">
        <x:v>0.004526111538</x:v>
      </x:c>
      <x:c r="G79" s="52" t="n">
        <x:f>((N79*1000*I14/(C14*COS(RADIANS(Inputs!$B$13))))-((G14*1000000*I14/COS(RADIANS(Inputs!$B$13)))*C79/(D14*COS(RADIANS(Inputs!$B$13))*Inputs!$B$47)))/1000000</x:f>
        <x:v>-105.80480554030453</x:v>
      </x:c>
      <x:c r="H79" s="52" t="n">
        <x:f>((N79*1000*I14/(C14*COS(RADIANS(Inputs!$B$13))))+((G14*1000000*I14/COS(RADIANS(Inputs!$B$13)))*D79/(D14*COS(RADIANS(Inputs!$B$13))*Inputs!$B$47)))/1000000</x:f>
        <x:v>105.30386688527517</x:v>
      </x:c>
      <x:c r="I79" s="52" t="n">
        <x:f>ABS(F14*1000*I14)/(E79*COS(RADIANS(Inputs!$B$13)))/1000000</x:f>
        <x:v>22.593414139320398</x:v>
      </x:c>
      <x:c r="J79" s="52" t="n">
        <x:f>ABS(H14*1000000*I14/COS(RADIANS(Inputs!$B$13)))/(2*(E14*COS(RADIANS(Inputs!$B$13)))*F79)/1000000</x:f>
        <x:v>7.546738794696299</x:v>
      </x:c>
      <x:c r="K79" s="52" t="n">
        <x:f>SQRT(MAX(ABS(G79),ABS(H79))^2+3*(I79+J79)^2)</x:f>
        <x:v>117.9828094769717</x:v>
      </x:c>
      <x:c r="L79" s="47" t="n">
        <x:f>Inputs!$B$43/1000000/K79</x:f>
        <x:v>3.5598406400211813</x:v>
      </x:c>
      <x:c r="M79" s="45" t="n">
        <x:v>0.018122667821516968</x:v>
      </x:c>
      <x:c r="N79" s="46" t="n">
        <x:v>-36.83135971579</x:v>
      </x:c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 ht="15" hidden="0" customHeight="1">
      <x:c r="A80" s="44" t="n">
        <x:v>0.15586206896551721</x:v>
      </x:c>
      <x:c r="B80" s="44" t="n">
        <x:v>4.579307675775172</x:v>
      </x:c>
      <x:c r="C80" s="45" t="n">
        <x:v>0.7608746386013108</x:v>
      </x:c>
      <x:c r="D80" s="45" t="n">
        <x:v>0.7588497872109263</x:v>
      </x:c>
      <x:c r="E80" s="45" t="n">
        <x:v>0.0342366765300845</x:v>
      </x:c>
      <x:c r="F80" s="45" t="n">
        <x:v>0.004526111538</x:v>
      </x:c>
      <x:c r="G80" s="52" t="n">
        <x:f>((N80*1000*I15/(C15*COS(RADIANS(Inputs!$B$13))))-((G15*1000000*I15/COS(RADIANS(Inputs!$B$13)))*C80/(D15*COS(RADIANS(Inputs!$B$13))*Inputs!$B$47)))/1000000</x:f>
        <x:v>-110.51621622413607</x:v>
      </x:c>
      <x:c r="H80" s="52" t="n">
        <x:f>((N80*1000*I15/(C15*COS(RADIANS(Inputs!$B$13))))+((G15*1000000*I15/COS(RADIANS(Inputs!$B$13)))*D80/(D15*COS(RADIANS(Inputs!$B$13))*Inputs!$B$47)))/1000000</x:f>
        <x:v>109.84570409563499</x:v>
      </x:c>
      <x:c r="I80" s="52" t="n">
        <x:f>ABS(F15*1000*I15)/(E80*COS(RADIANS(Inputs!$B$13)))/1000000</x:f>
        <x:v>24.051963062865276</x:v>
      </x:c>
      <x:c r="J80" s="52" t="n">
        <x:f>ABS(H15*1000000*I15/COS(RADIANS(Inputs!$B$13)))/(2*(E15*COS(RADIANS(Inputs!$B$13)))*F80)/1000000</x:f>
        <x:v>8.896142993922375</x:v>
      </x:c>
      <x:c r="K80" s="52" t="n">
        <x:f>SQRT(MAX(ABS(G80),ABS(H80))^2+3*(I80+J80)^2)</x:f>
        <x:v>124.3807345479515</x:v>
      </x:c>
      <x:c r="L80" s="47" t="n">
        <x:f>Inputs!$B$43/1000000/K80</x:f>
        <x:v>3.376728731555133</x:v>
      </x:c>
      <x:c r="M80" s="45" t="n">
        <x:v>0.017932047901196693</x:v>
      </x:c>
      <x:c r="N80" s="46" t="n">
        <x:v>-36.18525641399</x:v>
      </x:c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 ht="15" hidden="0" customHeight="1">
      <x:c r="A81" s="44" t="n">
        <x:v>0.17306896551724138</x:v>
      </x:c>
      <x:c r="B81" s="44" t="n">
        <x:v>5.084855138211414</x:v>
      </x:c>
      <x:c r="C81" s="45" t="n">
        <x:v>0.715485780597878</x:v>
      </x:c>
      <x:c r="D81" s="45" t="n">
        <x:v>0.7174057095306794</x:v>
      </x:c>
      <x:c r="E81" s="45" t="n">
        <x:v>0.02795684852191057</x:v>
      </x:c>
      <x:c r="F81" s="45" t="n">
        <x:v>0.004567515469</x:v>
      </x:c>
      <x:c r="G81" s="52" t="n">
        <x:f>((N81*1000*I16/(C16*COS(RADIANS(Inputs!$B$13))))-((G16*1000000*I16/COS(RADIANS(Inputs!$B$13)))*C81/(D16*COS(RADIANS(Inputs!$B$13))*Inputs!$B$47)))/1000000</x:f>
        <x:v>-117.48198323478874</x:v>
      </x:c>
      <x:c r="H81" s="52" t="n">
        <x:f>((N81*1000*I16/(C16*COS(RADIANS(Inputs!$B$13))))+((G16*1000000*I16/COS(RADIANS(Inputs!$B$13)))*D81/(D16*COS(RADIANS(Inputs!$B$13))*Inputs!$B$47)))/1000000</x:f>
        <x:v>117.3982948175665</x:v>
      </x:c>
      <x:c r="I81" s="52" t="n">
        <x:f>ABS(F16*1000*I16)/(E81*COS(RADIANS(Inputs!$B$13)))/1000000</x:f>
        <x:v>28.719989105441808</x:v>
      </x:c>
      <x:c r="J81" s="52" t="n">
        <x:f>ABS(H16*1000000*I16/COS(RADIANS(Inputs!$B$13)))/(2*(E16*COS(RADIANS(Inputs!$B$13)))*F81)/1000000</x:f>
        <x:v>9.854875003449985</x:v>
      </x:c>
      <x:c r="K81" s="52" t="n">
        <x:f>SQRT(MAX(ABS(G81),ABS(H81))^2+3*(I81+J81)^2)</x:f>
        <x:v>135.15205069786248</x:v>
      </x:c>
      <x:c r="L81" s="47" t="n">
        <x:f>Inputs!$B$43/1000000/K81</x:f>
        <x:v>3.107611004282324</x:v>
      </x:c>
      <x:c r="M81" s="45" t="n">
        <x:v>0.01744583146097014</x:v>
      </x:c>
      <x:c r="N81" s="46" t="n">
        <x:v>-35.596116980190004</x:v>
      </x:c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 ht="15" hidden="0" customHeight="1">
      <x:c r="A82" s="44" t="n">
        <x:v>0.1902758620689655</x:v>
      </x:c>
      <x:c r="B82" s="44" t="n">
        <x:v>5.590402600647655</x:v>
      </x:c>
      <x:c r="C82" s="45" t="n">
        <x:v>0.6777664457599268</x:v>
      </x:c>
      <x:c r="D82" s="45" t="n">
        <x:v>0.6758818843405079</x:v>
      </x:c>
      <x:c r="E82" s="45" t="n">
        <x:v>0.02596686126646947</x:v>
      </x:c>
      <x:c r="F82" s="45" t="n">
        <x:v>0.004526111538</x:v>
      </x:c>
      <x:c r="G82" s="52" t="n">
        <x:f>((N82*1000*I17/(C17*COS(RADIANS(Inputs!$B$13))))-((G17*1000000*I17/COS(RADIANS(Inputs!$B$13)))*C82/(D17*COS(RADIANS(Inputs!$B$13))*Inputs!$B$47)))/1000000</x:f>
        <x:v>-125.64829706473739</x:v>
      </x:c>
      <x:c r="H82" s="52" t="n">
        <x:f>((N82*1000*I17/(C17*COS(RADIANS(Inputs!$B$13))))+((G17*1000000*I17/COS(RADIANS(Inputs!$B$13)))*D82/(D17*COS(RADIANS(Inputs!$B$13))*Inputs!$B$47)))/1000000</x:f>
        <x:v>124.87856583731788</x:v>
      </x:c>
      <x:c r="I82" s="52" t="n">
        <x:f>ABS(F17*1000*I17)/(E82*COS(RADIANS(Inputs!$B$13)))/1000000</x:f>
        <x:v>30.109476800777117</x:v>
      </x:c>
      <x:c r="J82" s="52" t="n">
        <x:f>ABS(H17*1000000*I17/COS(RADIANS(Inputs!$B$13)))/(2*(E17*COS(RADIANS(Inputs!$B$13)))*F82)/1000000</x:f>
        <x:v>11.205529259889884</x:v>
      </x:c>
      <x:c r="K82" s="52" t="n">
        <x:f>SQRT(MAX(ABS(G82),ABS(H82))^2+3*(I82+J82)^2)</x:f>
        <x:v>144.59696999815503</x:v>
      </x:c>
      <x:c r="L82" s="47" t="n">
        <x:f>Inputs!$B$43/1000000/K82</x:f>
        <x:v>2.904625179942283</x:v>
      </x:c>
      <x:c r="M82" s="45" t="n">
        <x:v>0.01681265786921163</x:v>
      </x:c>
      <x:c r="N82" s="46" t="n">
        <x:v>-35.32360036189</x:v>
      </x:c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 ht="15" hidden="0" customHeight="1">
      <x:c r="A83" s="44" t="n">
        <x:v>0.20748275862068963</x:v>
      </x:c>
      <x:c r="B83" s="44" t="n">
        <x:v>6.0959500630838965</x:v>
      </x:c>
      <x:c r="C83" s="45" t="n">
        <x:v>0.6441022202425897</x:v>
      </x:c>
      <x:c r="D83" s="45" t="n">
        <x:v>0.6349515015632097</x:v>
      </x:c>
      <x:c r="E83" s="45" t="n">
        <x:v>0.02422162339319764</x:v>
      </x:c>
      <x:c r="F83" s="45" t="n">
        <x:v>0.004526111538</x:v>
      </x:c>
      <x:c r="G83" s="52" t="n">
        <x:f>((N83*1000*I18/(C18*COS(RADIANS(Inputs!$B$13))))-((G18*1000000*I18/COS(RADIANS(Inputs!$B$13)))*C83/(D18*COS(RADIANS(Inputs!$B$13))*Inputs!$B$47)))/1000000</x:f>
        <x:v>-133.58949827693493</x:v>
      </x:c>
      <x:c r="H83" s="52" t="n">
        <x:f>((N83*1000*I18/(C18*COS(RADIANS(Inputs!$B$13))))+((G18*1000000*I18/COS(RADIANS(Inputs!$B$13)))*D83/(D18*COS(RADIANS(Inputs!$B$13))*Inputs!$B$47)))/1000000</x:f>
        <x:v>131.25367495031682</x:v>
      </x:c>
      <x:c r="I83" s="52" t="n">
        <x:f>ABS(F18*1000*I18)/(E83*COS(RADIANS(Inputs!$B$13)))/1000000</x:f>
        <x:v>31.407748243885948</x:v>
      </x:c>
      <x:c r="J83" s="52" t="n">
        <x:f>ABS(H18*1000000*I18/COS(RADIANS(Inputs!$B$13)))/(2*(E18*COS(RADIANS(Inputs!$B$13)))*F83)/1000000</x:f>
        <x:v>12.385087753027342</x:v>
      </x:c>
      <x:c r="K83" s="52" t="n">
        <x:f>SQRT(MAX(ABS(G83),ABS(H83))^2+3*(I83+J83)^2)</x:f>
        <x:v>153.62158540986627</x:v>
      </x:c>
      <x:c r="L83" s="47" t="n">
        <x:f>Inputs!$B$43/1000000/K83</x:f>
        <x:v>2.733990792240748</x:v>
      </x:c>
      <x:c r="M83" s="45" t="n">
        <x:v>0.01634806286151857</x:v>
      </x:c>
      <x:c r="N83" s="46" t="n">
        <x:v>-35.03724785419</x:v>
      </x:c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 ht="15" hidden="0" customHeight="1">
      <x:c r="A84" s="44" t="n">
        <x:v>0.22468965517241377</x:v>
      </x:c>
      <x:c r="B84" s="44" t="n">
        <x:v>6.601497525520138</x:v>
      </x:c>
      <x:c r="C84" s="45" t="n">
        <x:v>0.60925772976878</x:v>
      </x:c>
      <x:c r="D84" s="45" t="n">
        <x:v>0.6003118463341992</x:v>
      </x:c>
      <x:c r="E84" s="45" t="n">
        <x:v>0.026700425253508436</x:v>
      </x:c>
      <x:c r="F84" s="45" t="n">
        <x:v>0.004526111538</x:v>
      </x:c>
      <x:c r="G84" s="52" t="n">
        <x:f>((N84*1000*I19/(C19*COS(RADIANS(Inputs!$B$13))))-((G19*1000000*I19/COS(RADIANS(Inputs!$B$13)))*C84/(D19*COS(RADIANS(Inputs!$B$13))*Inputs!$B$47)))/1000000</x:f>
        <x:v>-137.74818954366845</x:v>
      </x:c>
      <x:c r="H84" s="52" t="n">
        <x:f>((N84*1000*I19/(C19*COS(RADIANS(Inputs!$B$13))))+((G19*1000000*I19/COS(RADIANS(Inputs!$B$13)))*D84/(D19*COS(RADIANS(Inputs!$B$13))*Inputs!$B$47)))/1000000</x:f>
        <x:v>135.28187223022059</x:v>
      </x:c>
      <x:c r="I84" s="52" t="n">
        <x:f>ABS(F19*1000*I19)/(E84*COS(RADIANS(Inputs!$B$13)))/1000000</x:f>
        <x:v>27.676529669960022</x:v>
      </x:c>
      <x:c r="J84" s="52" t="n">
        <x:f>ABS(H19*1000000*I19/COS(RADIANS(Inputs!$B$13)))/(2*(E19*COS(RADIANS(Inputs!$B$13)))*F84)/1000000</x:f>
        <x:v>13.747360068665197</x:v>
      </x:c>
      <x:c r="K84" s="52" t="n">
        <x:f>SQRT(MAX(ABS(G84),ABS(H84))^2+3*(I84+J84)^2)</x:f>
        <x:v>155.31381022237446</x:v>
      </x:c>
      <x:c r="L84" s="47" t="n">
        <x:f>Inputs!$B$43/1000000/K84</x:f>
        <x:v>2.704202539353419</x:v>
      </x:c>
      <x:c r="M84" s="45" t="n">
        <x:v>0.016172690252027836</x:v>
      </x:c>
      <x:c r="N84" s="46" t="n">
        <x:v>-34.86388862089</x:v>
      </x:c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 ht="15" hidden="0" customHeight="1">
      <x:c r="A85" s="44" t="n">
        <x:v>0.24189655172413793</x:v>
      </x:c>
      <x:c r="B85" s="44" t="n">
        <x:v>7.10704498795638</x:v>
      </x:c>
      <x:c r="C85" s="45" t="n">
        <x:v>0.5782684009530019</x:v>
      </x:c>
      <x:c r="D85" s="45" t="n">
        <x:v>0.5665072883260924</x:v>
      </x:c>
      <x:c r="E85" s="45" t="n">
        <x:v>0.02182635437671373</x:v>
      </x:c>
      <x:c r="F85" s="45" t="n">
        <x:v>0.004526111538</x:v>
      </x:c>
      <x:c r="G85" s="52" t="n">
        <x:f>((N85*1000*I20/(C20*COS(RADIANS(Inputs!$B$13))))-((G20*1000000*I20/COS(RADIANS(Inputs!$B$13)))*C85/(D20*COS(RADIANS(Inputs!$B$13))*Inputs!$B$47)))/1000000</x:f>
        <x:v>-141.16880233334072</x:v>
      </x:c>
      <x:c r="H85" s="52" t="n">
        <x:f>((N85*1000*I20/(C20*COS(RADIANS(Inputs!$B$13))))+((G20*1000000*I20/COS(RADIANS(Inputs!$B$13)))*D85/(D20*COS(RADIANS(Inputs!$B$13))*Inputs!$B$47)))/1000000</x:f>
        <x:v>137.8372337135513</x:v>
      </x:c>
      <x:c r="I85" s="52" t="n">
        <x:f>ABS(F20*1000*I20)/(E85*COS(RADIANS(Inputs!$B$13)))/1000000</x:f>
        <x:v>32.94082093020774</x:v>
      </x:c>
      <x:c r="J85" s="52" t="n">
        <x:f>ABS(H20*1000000*I20/COS(RADIANS(Inputs!$B$13)))/(2*(E20*COS(RADIANS(Inputs!$B$13)))*F85)/1000000</x:f>
        <x:v>15.617857740813216</x:v>
      </x:c>
      <x:c r="K85" s="52" t="n">
        <x:f>SQRT(MAX(ABS(G85),ABS(H85))^2+3*(I85+J85)^2)</x:f>
        <x:v>164.32427262901916</x:v>
      </x:c>
      <x:c r="L85" s="47" t="n">
        <x:f>Inputs!$B$43/1000000/K85</x:f>
        <x:v>2.5559218567070614</x:v>
      </x:c>
      <x:c r="M85" s="45" t="n">
        <x:v>0.01629415574120819</x:v>
      </x:c>
      <x:c r="N85" s="46" t="n">
        <x:v>-34.78187498869</x:v>
      </x:c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 ht="15" hidden="0" customHeight="1">
      <x:c r="A86" s="44" t="n">
        <x:v>0.259103448275862</x:v>
      </x:c>
      <x:c r="B86" s="44" t="n">
        <x:v>7.61259245039262</x:v>
      </x:c>
      <x:c r="C86" s="45" t="n">
        <x:v>0.5504240366274082</x:v>
      </x:c>
      <x:c r="D86" s="45" t="n">
        <x:v>0.5336625419414167</x:v>
      </x:c>
      <x:c r="E86" s="45" t="n">
        <x:v>0.020870698077144686</x:v>
      </x:c>
      <x:c r="F86" s="45" t="n">
        <x:v>0.004526111538</x:v>
      </x:c>
      <x:c r="G86" s="52" t="n">
        <x:f>((N86*1000*I21/(C21*COS(RADIANS(Inputs!$B$13))))-((G21*1000000*I21/COS(RADIANS(Inputs!$B$13)))*C86/(D21*COS(RADIANS(Inputs!$B$13))*Inputs!$B$47)))/1000000</x:f>
        <x:v>-141.71843224127144</x:v>
      </x:c>
      <x:c r="H86" s="52" t="n">
        <x:f>((N86*1000*I21/(C21*COS(RADIANS(Inputs!$B$13))))+((G21*1000000*I21/COS(RADIANS(Inputs!$B$13)))*D86/(D21*COS(RADIANS(Inputs!$B$13))*Inputs!$B$47)))/1000000</x:f>
        <x:v>136.94345142292985</x:v>
      </x:c>
      <x:c r="I86" s="52" t="n">
        <x:f>ABS(F21*1000*I21)/(E86*COS(RADIANS(Inputs!$B$13)))/1000000</x:f>
        <x:v>33.36054818493698</x:v>
      </x:c>
      <x:c r="J86" s="52" t="n">
        <x:f>ABS(H21*1000000*I21/COS(RADIANS(Inputs!$B$13)))/(2*(E21*COS(RADIANS(Inputs!$B$13)))*F86)/1000000</x:f>
        <x:v>17.218778739600882</x:v>
      </x:c>
      <x:c r="K86" s="52" t="n">
        <x:f>SQRT(MAX(ABS(G86),ABS(H86))^2+3*(I86+J86)^2)</x:f>
        <x:v>166.6100806474257</x:v>
      </x:c>
      <x:c r="L86" s="47" t="n">
        <x:f>Inputs!$B$43/1000000/K86</x:f>
        <x:v>2.5208558711929863</x:v>
      </x:c>
      <x:c r="M86" s="45" t="n">
        <x:v>0.016699788167486143</x:v>
      </x:c>
      <x:c r="N86" s="46" t="n">
        <x:v>-34.64195409609</x:v>
      </x:c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 ht="15" hidden="0" customHeight="1">
      <x:c r="A87" s="44" t="n">
        <x:v>0.2763103448275862</x:v>
      </x:c>
      <x:c r="B87" s="44" t="n">
        <x:v>8.118139912828862</x:v>
      </x:c>
      <x:c r="C87" s="45" t="n">
        <x:v>0.5229405705072692</x:v>
      </x:c>
      <x:c r="D87" s="45" t="n">
        <x:v>0.504399104632169</x:v>
      </x:c>
      <x:c r="E87" s="45" t="n">
        <x:v>0.01995855991086932</x:v>
      </x:c>
      <x:c r="F87" s="45" t="n">
        <x:v>0.004526111538</x:v>
      </x:c>
      <x:c r="G87" s="52" t="n">
        <x:f>((N87*1000*I22/(C22*COS(RADIANS(Inputs!$B$13))))-((G22*1000000*I22/COS(RADIANS(Inputs!$B$13)))*C87/(D22*COS(RADIANS(Inputs!$B$13))*Inputs!$B$47)))/1000000</x:f>
        <x:v>-141.18338540433191</x:v>
      </x:c>
      <x:c r="H87" s="52" t="n">
        <x:f>((N87*1000*I22/(C22*COS(RADIANS(Inputs!$B$13))))+((G22*1000000*I22/COS(RADIANS(Inputs!$B$13)))*D87/(D22*COS(RADIANS(Inputs!$B$13))*Inputs!$B$47)))/1000000</x:f>
        <x:v>135.71898362771842</x:v>
      </x:c>
      <x:c r="I87" s="52" t="n">
        <x:f>ABS(F22*1000*I22)/(E87*COS(RADIANS(Inputs!$B$13)))/1000000</x:f>
        <x:v>33.76658792991129</x:v>
      </x:c>
      <x:c r="J87" s="52" t="n">
        <x:f>ABS(H22*1000000*I22/COS(RADIANS(Inputs!$B$13)))/(2*(E22*COS(RADIANS(Inputs!$B$13)))*F87)/1000000</x:f>
        <x:v>19.08238590598721</x:v>
      </x:c>
      <x:c r="K87" s="52" t="n">
        <x:f>SQRT(MAX(ABS(G87),ABS(H87))^2+3*(I87+J87)^2)</x:f>
        <x:v>168.26107815163488</x:v>
      </x:c>
      <x:c r="L87" s="47" t="n">
        <x:f>Inputs!$B$43/1000000/K87</x:f>
        <x:v>2.496120936664277</x:v>
      </x:c>
      <x:c r="M87" s="45" t="n">
        <x:v>0.017240857221065994</x:v>
      </x:c>
      <x:c r="N87" s="46" t="n">
        <x:v>-34.64200736649</x:v>
      </x:c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 ht="15" hidden="0" customHeight="1">
      <x:c r="A88" s="44" t="n">
        <x:v>0.29351724137931035</x:v>
      </x:c>
      <x:c r="B88" s="44" t="n">
        <x:v>8.623687375265105</x:v>
      </x:c>
      <x:c r="C88" s="45" t="n">
        <x:v>0.4966249922742474</x:v>
      </x:c>
      <x:c r="D88" s="45" t="n">
        <x:v>0.4779442163696799</x:v>
      </x:c>
      <x:c r="E88" s="45" t="n">
        <x:v>0.020629258655897334</x:v>
      </x:c>
      <x:c r="F88" s="45" t="n">
        <x:v>0.004526111538</x:v>
      </x:c>
      <x:c r="G88" s="52" t="n">
        <x:f>((N88*1000*I23/(C23*COS(RADIANS(Inputs!$B$13))))-((G23*1000000*I23/COS(RADIANS(Inputs!$B$13)))*C88/(D23*COS(RADIANS(Inputs!$B$13))*Inputs!$B$47)))/1000000</x:f>
        <x:v>-140.00135105820473</x:v>
      </x:c>
      <x:c r="H88" s="52" t="n">
        <x:f>((N88*1000*I23/(C23*COS(RADIANS(Inputs!$B$13))))+((G23*1000000*I23/COS(RADIANS(Inputs!$B$13)))*D88/(D23*COS(RADIANS(Inputs!$B$13))*Inputs!$B$47)))/1000000</x:f>
        <x:v>134.28217335735732</x:v>
      </x:c>
      <x:c r="I88" s="52" t="n">
        <x:f>ABS(F23*1000*I23)/(E88*COS(RADIANS(Inputs!$B$13)))/1000000</x:f>
        <x:v>31.552588636378154</x:v>
      </x:c>
      <x:c r="J88" s="52" t="n">
        <x:f>ABS(H23*1000000*I23/COS(RADIANS(Inputs!$B$13)))/(2*(E23*COS(RADIANS(Inputs!$B$13)))*F88)/1000000</x:f>
        <x:v>20.999566878917232</x:v>
      </x:c>
      <x:c r="K88" s="52" t="n">
        <x:f>SQRT(MAX(ABS(G88),ABS(H88))^2+3*(I88+J88)^2)</x:f>
        <x:v>166.9897165876811</x:v>
      </x:c>
      <x:c r="L88" s="47" t="n">
        <x:f>Inputs!$B$43/1000000/K88</x:f>
        <x:v>2.5151249345313493</x:v>
      </x:c>
      <x:c r="M88" s="45" t="n">
        <x:v>0.017820033874754844</x:v>
      </x:c>
      <x:c r="N88" s="46" t="n">
        <x:v>-34.54158179729</x:v>
      </x:c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 ht="15" hidden="0" customHeight="1">
      <x:c r="A89" s="44" t="n">
        <x:v>0.3107241379310344</x:v>
      </x:c>
      <x:c r="B89" s="44" t="n">
        <x:v>9.129234837701345</x:v>
      </x:c>
      <x:c r="C89" s="45" t="n">
        <x:v>0.4696279039726905</x:v>
      </x:c>
      <x:c r="D89" s="45" t="n">
        <x:v>0.4554679185597075</x:v>
      </x:c>
      <x:c r="E89" s="45" t="n">
        <x:v>0.01661987870241145</x:v>
      </x:c>
      <x:c r="F89" s="45" t="n">
        <x:v>0.004526111538</x:v>
      </x:c>
      <x:c r="G89" s="52" t="n">
        <x:f>((N89*1000*I24/(C24*COS(RADIANS(Inputs!$B$13))))-((G24*1000000*I24/COS(RADIANS(Inputs!$B$13)))*C89/(D24*COS(RADIANS(Inputs!$B$13))*Inputs!$B$47)))/1000000</x:f>
        <x:v>-138.72518364552766</x:v>
      </x:c>
      <x:c r="H89" s="52" t="n">
        <x:f>((N89*1000*I24/(C24*COS(RADIANS(Inputs!$B$13))))+((G24*1000000*I24/COS(RADIANS(Inputs!$B$13)))*D89/(D24*COS(RADIANS(Inputs!$B$13))*Inputs!$B$47)))/1000000</x:f>
        <x:v>134.07918016482307</x:v>
      </x:c>
      <x:c r="I89" s="52" t="n">
        <x:f>ABS(F24*1000*I24)/(E89*COS(RADIANS(Inputs!$B$13)))/1000000</x:f>
        <x:v>37.89079983903221</x:v>
      </x:c>
      <x:c r="J89" s="52" t="n">
        <x:f>ABS(H24*1000000*I24/COS(RADIANS(Inputs!$B$13)))/(2*(E24*COS(RADIANS(Inputs!$B$13)))*F89)/1000000</x:f>
        <x:v>23.179846795698104</x:v>
      </x:c>
      <x:c r="K89" s="52" t="n">
        <x:f>SQRT(MAX(ABS(G89),ABS(H89))^2+3*(I89+J89)^2)</x:f>
        <x:v>174.45213732894666</x:v>
      </x:c>
      <x:c r="L89" s="47" t="n">
        <x:f>Inputs!$B$43/1000000/K89</x:f>
        <x:v>2.4075371413079836</x:v>
      </x:c>
      <x:c r="M89" s="45" t="n">
        <x:v>0.01844128025339479</x:v>
      </x:c>
      <x:c r="N89" s="46" t="n">
        <x:v>-34.59731894449</x:v>
      </x:c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 ht="15" hidden="0" customHeight="1">
      <x:c r="A90" s="44" t="n">
        <x:v>0.3279310344827586</x:v>
      </x:c>
      <x:c r="B90" s="44" t="n">
        <x:v>9.634782300137587</x:v>
      </x:c>
      <x:c r="C90" s="45" t="n">
        <x:v>0.44456949869246465</x:v>
      </x:c>
      <x:c r="D90" s="45" t="n">
        <x:v>0.43419640750177546</x:v>
      </x:c>
      <x:c r="E90" s="45" t="n">
        <x:v>0.022562572568439868</x:v>
      </x:c>
      <x:c r="F90" s="45" t="n">
        <x:v>0.004526111538</x:v>
      </x:c>
      <x:c r="G90" s="52" t="n">
        <x:f>((N90*1000*I25/(C25*COS(RADIANS(Inputs!$B$13))))-((G25*1000000*I25/COS(RADIANS(Inputs!$B$13)))*C90/(D25*COS(RADIANS(Inputs!$B$13))*Inputs!$B$47)))/1000000</x:f>
        <x:v>-135.72548146122378</x:v>
      </x:c>
      <x:c r="H90" s="52" t="n">
        <x:f>((N90*1000*I25/(C25*COS(RADIANS(Inputs!$B$13))))+((G25*1000000*I25/COS(RADIANS(Inputs!$B$13)))*D90/(D25*COS(RADIANS(Inputs!$B$13))*Inputs!$B$47)))/1000000</x:f>
        <x:v>132.10966296622573</x:v>
      </x:c>
      <x:c r="I90" s="52" t="n">
        <x:f>ABS(F25*1000*I25)/(E90*COS(RADIANS(Inputs!$B$13)))/1000000</x:f>
        <x:v>27.694025296855305</x:v>
      </x:c>
      <x:c r="J90" s="52" t="n">
        <x:f>ABS(H25*1000000*I25/COS(RADIANS(Inputs!$B$13)))/(2*(E25*COS(RADIANS(Inputs!$B$13)))*F90)/1000000</x:f>
        <x:v>19.44327869879676</x:v>
      </x:c>
      <x:c r="K90" s="52" t="n">
        <x:f>SQRT(MAX(ABS(G90),ABS(H90))^2+3*(I90+J90)^2)</x:f>
        <x:v>158.3893386620973</x:v>
      </x:c>
      <x:c r="L90" s="47" t="n">
        <x:f>Inputs!$B$43/1000000/K90</x:f>
        <x:v>2.651693627536475</x:v>
      </x:c>
      <x:c r="M90" s="45" t="n">
        <x:v>0.01898582281169235</x:v>
      </x:c>
      <x:c r="N90" s="46" t="n">
        <x:v>-34.51374016639</x:v>
      </x:c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 ht="15" hidden="0" customHeight="1">
      <x:c r="A91" s="44" t="n">
        <x:v>0.34513793103448276</x:v>
      </x:c>
      <x:c r="B91" s="44" t="n">
        <x:v>10.14032976257383</x:v>
      </x:c>
      <x:c r="C91" s="45" t="n">
        <x:v>0.4211824028532538</x:v>
      </x:c>
      <x:c r="D91" s="45" t="n">
        <x:v>0.4140893619932533</x:v>
      </x:c>
      <x:c r="E91" s="45" t="n">
        <x:v>0.0253735495674125</x:v>
      </x:c>
      <x:c r="F91" s="45" t="n">
        <x:v>0.005285668684</x:v>
      </x:c>
      <x:c r="G91" s="52" t="n">
        <x:f>((N91*1000*I26/(C26*COS(RADIANS(Inputs!$B$13))))-((G26*1000000*I26/COS(RADIANS(Inputs!$B$13)))*C91/(D26*COS(RADIANS(Inputs!$B$13))*Inputs!$B$47)))/1000000</x:f>
        <x:v>-135.28443230047822</x:v>
      </x:c>
      <x:c r="H91" s="52" t="n">
        <x:f>((N91*1000*I26/(C26*COS(RADIANS(Inputs!$B$13))))+((G26*1000000*I26/COS(RADIANS(Inputs!$B$13)))*D91/(D26*COS(RADIANS(Inputs!$B$13))*Inputs!$B$47)))/1000000</x:f>
        <x:v>132.5583188603576</x:v>
      </x:c>
      <x:c r="I91" s="52" t="n">
        <x:f>ABS(F26*1000*I26)/(E91*COS(RADIANS(Inputs!$B$13)))/1000000</x:f>
        <x:v>23.96932060749579</x:v>
      </x:c>
      <x:c r="J91" s="52" t="n">
        <x:f>ABS(H26*1000000*I26/COS(RADIANS(Inputs!$B$13)))/(2*(E26*COS(RADIANS(Inputs!$B$13)))*F91)/1000000</x:f>
        <x:v>18.766193913876183</x:v>
      </x:c>
      <x:c r="K91" s="52" t="n">
        <x:f>SQRT(MAX(ABS(G91),ABS(H91))^2+3*(I91+J91)^2)</x:f>
        <x:v>154.21040894531686</x:v>
      </x:c>
      <x:c r="L91" s="47" t="n">
        <x:f>Inputs!$B$43/1000000/K91</x:f>
        <x:v>2.7235515609645544</x:v>
      </x:c>
      <x:c r="M91" s="45" t="n">
        <x:v>0.019312882497516566</x:v>
      </x:c>
      <x:c r="N91" s="46" t="n">
        <x:v>-34.44205780879</x:v>
      </x:c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 ht="15" hidden="0" customHeight="1">
      <x:c r="A92" s="44" t="n">
        <x:v>0.3623448275862069</x:v>
      </x:c>
      <x:c r="B92" s="44" t="n">
        <x:v>10.64587722501007</x:v>
      </x:c>
      <x:c r="C92" s="45" t="n">
        <x:v>0.3959282718442285</x:v>
      </x:c>
      <x:c r="D92" s="45" t="n">
        <x:v>0.39825365305321725</x:v>
      </x:c>
      <x:c r="E92" s="45" t="n">
        <x:v>0.04178246839038146</x:v>
      </x:c>
      <x:c r="F92" s="45" t="n">
        <x:v>0.004708933068</x:v>
      </x:c>
      <x:c r="G92" s="52" t="n">
        <x:f>((N92*1000*I27/(C27*COS(RADIANS(Inputs!$B$13))))-((G27*1000000*I27/COS(RADIANS(Inputs!$B$13)))*C92/(D27*COS(RADIANS(Inputs!$B$13))*Inputs!$B$47)))/1000000</x:f>
        <x:v>-131.91402686217106</x:v>
      </x:c>
      <x:c r="H92" s="52" t="n">
        <x:f>((N92*1000*I27/(C27*COS(RADIANS(Inputs!$B$13))))+((G27*1000000*I27/COS(RADIANS(Inputs!$B$13)))*D92/(D27*COS(RADIANS(Inputs!$B$13))*Inputs!$B$47)))/1000000</x:f>
        <x:v>132.2634282096935</x:v>
      </x:c>
      <x:c r="I92" s="52" t="n">
        <x:f>ABS(F27*1000*I27)/(E92*COS(RADIANS(Inputs!$B$13)))/1000000</x:f>
        <x:v>14.028563729397995</x:v>
      </x:c>
      <x:c r="J92" s="52" t="n">
        <x:f>ABS(H27*1000000*I27/COS(RADIANS(Inputs!$B$13)))/(2*(E27*COS(RADIANS(Inputs!$B$13)))*F92)/1000000</x:f>
        <x:v>23.105160518223627</x:v>
      </x:c>
      <x:c r="K92" s="52" t="n">
        <x:f>SQRT(MAX(ABS(G92),ABS(H92))^2+3*(I92+J92)^2)</x:f>
        <x:v>147.07261768009693</x:v>
      </x:c>
      <x:c r="L92" s="47" t="n">
        <x:f>Inputs!$B$43/1000000/K92</x:f>
        <x:v>2.8557321316844817</x:v>
      </x:c>
      <x:c r="M92" s="45" t="n">
        <x:v>0.019356628088154627</x:v>
      </x:c>
      <x:c r="N92" s="46" t="n">
        <x:v>-34.40259744449</x:v>
      </x:c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 ht="15" hidden="0" customHeight="1">
      <x:c r="A93" s="44" t="n">
        <x:v>0.37955172413793103</x:v>
      </x:c>
      <x:c r="B93" s="44" t="n">
        <x:v>11.151424687446312</x:v>
      </x:c>
      <x:c r="C93" s="45" t="n">
        <x:v>0.3791695848780616</x:v>
      </x:c>
      <x:c r="D93" s="45" t="n">
        <x:v>0.38352922140815604</x:v>
      </x:c>
      <x:c r="E93" s="45" t="n">
        <x:v>0.035163903902870074</x:v>
      </x:c>
      <x:c r="F93" s="45" t="n">
        <x:v>0.004708933068</x:v>
      </x:c>
      <x:c r="G93" s="52" t="n">
        <x:f>((N93*1000*I28/(C28*COS(RADIANS(Inputs!$B$13))))-((G28*1000000*I28/COS(RADIANS(Inputs!$B$13)))*C93/(D28*COS(RADIANS(Inputs!$B$13))*Inputs!$B$47)))/1000000</x:f>
        <x:v>-136.06619228384142</x:v>
      </x:c>
      <x:c r="H93" s="52" t="n">
        <x:f>((N93*1000*I28/(C28*COS(RADIANS(Inputs!$B$13))))+((G28*1000000*I28/COS(RADIANS(Inputs!$B$13)))*D93/(D28*COS(RADIANS(Inputs!$B$13))*Inputs!$B$47)))/1000000</x:f>
        <x:v>137.17921372482368</x:v>
      </x:c>
      <x:c r="I93" s="52" t="n">
        <x:f>ABS(F28*1000*I28)/(E93*COS(RADIANS(Inputs!$B$13)))/1000000</x:f>
        <x:v>17.380615726352303</x:v>
      </x:c>
      <x:c r="J93" s="52" t="n">
        <x:f>ABS(H28*1000000*I28/COS(RADIANS(Inputs!$B$13)))/(2*(E28*COS(RADIANS(Inputs!$B$13)))*F93)/1000000</x:f>
        <x:v>6.183755123174237</x:v>
      </x:c>
      <x:c r="K93" s="52" t="n">
        <x:f>SQRT(MAX(ABS(G93),ABS(H93))^2+3*(I93+J93)^2)</x:f>
        <x:v>143.12223935770047</x:v>
      </x:c>
      <x:c r="L93" s="47" t="n">
        <x:f>Inputs!$B$43/1000000/K93</x:f>
        <x:v>2.934554419249328</x:v>
      </x:c>
      <x:c r="M93" s="45" t="n">
        <x:v>0.01912744112579058</x:v>
      </x:c>
      <x:c r="N93" s="46" t="n">
        <x:v>-34.10169375289</x:v>
      </x:c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 ht="15" hidden="0" customHeight="1">
      <x:c r="A94" s="44" t="n">
        <x:v>0.3967586206896552</x:v>
      </x:c>
      <x:c r="B94" s="44" t="n">
        <x:v>11.656972149882552</x:v>
      </x:c>
      <x:c r="C94" s="45" t="n">
        <x:v>0.37080362232634734</x:v>
      </x:c>
      <x:c r="D94" s="45" t="n">
        <x:v>0.36772598737995565</x:v>
      </x:c>
      <x:c r="E94" s="45" t="n">
        <x:v>0.014492614598962957</x:v>
      </x:c>
      <x:c r="F94" s="45" t="n">
        <x:v>0.004708933068</x:v>
      </x:c>
      <x:c r="G94" s="52" t="n">
        <x:f>((N94*1000*I29/(C29*COS(RADIANS(Inputs!$B$13))))-((G29*1000000*I29/COS(RADIANS(Inputs!$B$13)))*C94/(D29*COS(RADIANS(Inputs!$B$13))*Inputs!$B$47)))/1000000</x:f>
        <x:v>-143.4325972844934</x:v>
      </x:c>
      <x:c r="H94" s="52" t="n">
        <x:f>((N94*1000*I29/(C29*COS(RADIANS(Inputs!$B$13))))+((G29*1000000*I29/COS(RADIANS(Inputs!$B$13)))*D94/(D29*COS(RADIANS(Inputs!$B$13))*Inputs!$B$47)))/1000000</x:f>
        <x:v>141.7244044061261</x:v>
      </x:c>
      <x:c r="I94" s="52" t="n">
        <x:f>ABS(F29*1000*I29)/(E94*COS(RADIANS(Inputs!$B$13)))/1000000</x:f>
        <x:v>40.56136468029365</x:v>
      </x:c>
      <x:c r="J94" s="52" t="n">
        <x:f>ABS(H29*1000000*I29/COS(RADIANS(Inputs!$B$13)))/(2*(E29*COS(RADIANS(Inputs!$B$13)))*F94)/1000000</x:f>
        <x:v>6.654912051246967</x:v>
      </x:c>
      <x:c r="K94" s="52" t="n">
        <x:f>SQRT(MAX(ABS(G94),ABS(H94))^2+3*(I94+J94)^2)</x:f>
        <x:v>165.10917699796076</x:v>
      </x:c>
      <x:c r="L94" s="47" t="n">
        <x:f>Inputs!$B$43/1000000/K94</x:f>
        <x:v>2.5437713859187085</x:v>
      </x:c>
      <x:c r="M94" s="45" t="n">
        <x:v>0.018651224946821525</x:v>
      </x:c>
      <x:c r="N94" s="46" t="n">
        <x:v>-33.57926140579</x:v>
      </x:c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 ht="15" hidden="0" customHeight="1">
      <x:c r="A95" s="44" t="n">
        <x:v>0.4139655172413793</x:v>
      </x:c>
      <x:c r="B95" s="44" t="n">
        <x:v>12.162519612318794</x:v>
      </x:c>
      <x:c r="C95" s="45" t="n">
        <x:v>0.3595217349113886</x:v>
      </x:c>
      <x:c r="D95" s="45" t="n">
        <x:v>0.362168421564494</x:v>
      </x:c>
      <x:c r="E95" s="45" t="n">
        <x:v>0.012623818436993528</x:v>
      </x:c>
      <x:c r="F95" s="45" t="n">
        <x:v>0.004526111538</x:v>
      </x:c>
      <x:c r="G95" s="52" t="n">
        <x:f>((N95*1000*I30/(C30*COS(RADIANS(Inputs!$B$13))))-((G30*1000000*I30/COS(RADIANS(Inputs!$B$13)))*C95/(D30*COS(RADIANS(Inputs!$B$13))*Inputs!$B$47)))/1000000</x:f>
        <x:v>-144.15669094251652</x:v>
      </x:c>
      <x:c r="H95" s="52" t="n">
        <x:f>((N95*1000*I30/(C30*COS(RADIANS(Inputs!$B$13))))+((G30*1000000*I30/COS(RADIANS(Inputs!$B$13)))*D95/(D30*COS(RADIANS(Inputs!$B$13))*Inputs!$B$47)))/1000000</x:f>
        <x:v>144.67138662317672</x:v>
      </x:c>
      <x:c r="I95" s="52" t="n">
        <x:f>ABS(F30*1000*I30)/(E95*COS(RADIANS(Inputs!$B$13)))/1000000</x:f>
        <x:v>44.58636511303008</x:v>
      </x:c>
      <x:c r="J95" s="52" t="n">
        <x:f>ABS(H30*1000000*I30/COS(RADIANS(Inputs!$B$13)))/(2*(E30*COS(RADIANS(Inputs!$B$13)))*F95)/1000000</x:f>
        <x:v>7.702580764175857</x:v>
      </x:c>
      <x:c r="K95" s="52" t="n">
        <x:f>SQRT(MAX(ABS(G95),ABS(H95))^2+3*(I95+J95)^2)</x:f>
        <x:v>170.68160911568881</x:v>
      </x:c>
      <x:c r="L95" s="47" t="n">
        <x:f>Inputs!$B$43/1000000/K95</x:f>
        <x:v>2.4607220553874787</x:v>
      </x:c>
      <x:c r="M95" s="45" t="n">
        <x:v>0.018088582207999835</x:v>
      </x:c>
      <x:c r="N95" s="46" t="n">
        <x:v>-33.06326122739</x:v>
      </x:c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 ht="15" hidden="0" customHeight="1">
      <x:c r="A96" s="44" t="n">
        <x:v>0.43117241379310345</x:v>
      </x:c>
      <x:c r="B96" s="44" t="n">
        <x:v>12.668067074755037</x:v>
      </x:c>
      <x:c r="C96" s="45" t="n">
        <x:v>0.34768691587990386</x:v>
      </x:c>
      <x:c r="D96" s="45" t="n">
        <x:v>0.3549091054387299</x:v>
      </x:c>
      <x:c r="E96" s="45" t="n">
        <x:v>0.011862882289508044</x:v>
      </x:c>
      <x:c r="F96" s="45" t="n">
        <x:v>0.004526111538</x:v>
      </x:c>
      <x:c r="G96" s="52" t="n">
        <x:f>((N96*1000*I31/(C31*COS(RADIANS(Inputs!$B$13))))-((G31*1000000*I31/COS(RADIANS(Inputs!$B$13)))*C96/(D31*COS(RADIANS(Inputs!$B$13))*Inputs!$B$47)))/1000000</x:f>
        <x:v>-143.9583549167387</x:v>
      </x:c>
      <x:c r="H96" s="52" t="n">
        <x:f>((N96*1000*I31/(C31*COS(RADIANS(Inputs!$B$13))))+((G31*1000000*I31/COS(RADIANS(Inputs!$B$13)))*D96/(D31*COS(RADIANS(Inputs!$B$13))*Inputs!$B$47)))/1000000</x:f>
        <x:v>146.380544303651</x:v>
      </x:c>
      <x:c r="I96" s="52" t="n">
        <x:f>ABS(F31*1000*I31)/(E96*COS(RADIANS(Inputs!$B$13)))/1000000</x:f>
        <x:v>47.27328276624807</x:v>
      </x:c>
      <x:c r="J96" s="52" t="n">
        <x:f>ABS(H31*1000000*I31/COS(RADIANS(Inputs!$B$13)))/(2*(E31*COS(RADIANS(Inputs!$B$13)))*F96)/1000000</x:f>
        <x:v>2.6418210298402753</x:v>
      </x:c>
      <x:c r="K96" s="52" t="n">
        <x:f>SQRT(MAX(ABS(G96),ABS(H96))^2+3*(I96+J96)^2)</x:f>
        <x:v>170.0053425970959</x:v>
      </x:c>
      <x:c r="L96" s="47" t="n">
        <x:f>Inputs!$B$43/1000000/K96</x:f>
        <x:v>2.470510594454545</x:v>
      </x:c>
      <x:c r="M96" s="45" t="n">
        <x:v>0.01758327493735987</x:v>
      </x:c>
      <x:c r="N96" s="46" t="n">
        <x:v>-32.36198102609</x:v>
      </x:c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 ht="15" hidden="0" customHeight="1">
      <x:c r="A97" s="44" t="n">
        <x:v>0.4483793103448276</x:v>
      </x:c>
      <x:c r="B97" s="44" t="n">
        <x:v>13.173614537191277</x:v>
      </x:c>
      <x:c r="C97" s="45" t="n">
        <x:v>0.3355809302852686</x:v>
      </x:c>
      <x:c r="D97" s="45" t="n">
        <x:v>0.3482278301971409</x:v>
      </x:c>
      <x:c r="E97" s="45" t="n">
        <x:v>0.013923055832780014</x:v>
      </x:c>
      <x:c r="F97" s="45" t="n">
        <x:v>0.004526111538</x:v>
      </x:c>
      <x:c r="G97" s="52" t="n">
        <x:f>((N97*1000*I32/(C32*COS(RADIANS(Inputs!$B$13))))-((G32*1000000*I32/COS(RADIANS(Inputs!$B$13)))*C97/(D32*COS(RADIANS(Inputs!$B$13))*Inputs!$B$47)))/1000000</x:f>
        <x:v>-141.770405193306</x:v>
      </x:c>
      <x:c r="H97" s="52" t="n">
        <x:f>((N97*1000*I32/(C32*COS(RADIANS(Inputs!$B$13))))+((G32*1000000*I32/COS(RADIANS(Inputs!$B$13)))*D97/(D32*COS(RADIANS(Inputs!$B$13))*Inputs!$B$47)))/1000000</x:f>
        <x:v>146.53496422485486</x:v>
      </x:c>
      <x:c r="I97" s="52" t="n">
        <x:f>ABS(F32*1000*I32)/(E97*COS(RADIANS(Inputs!$B$13)))/1000000</x:f>
        <x:v>39.14147509382474</x:v>
      </x:c>
      <x:c r="J97" s="52" t="n">
        <x:f>ABS(H32*1000000*I32/COS(RADIANS(Inputs!$B$13)))/(2*(E32*COS(RADIANS(Inputs!$B$13)))*F97)/1000000</x:f>
        <x:v>1.9323532517248465</x:v>
      </x:c>
      <x:c r="K97" s="52" t="n">
        <x:f>SQRT(MAX(ABS(G97),ABS(H97))^2+3*(I97+J97)^2)</x:f>
        <x:v>162.89160157988044</x:v>
      </x:c>
      <x:c r="L97" s="47" t="n">
        <x:f>Inputs!$B$43/1000000/K97</x:f>
        <x:v>2.578401807867523</x:v>
      </x:c>
      <x:c r="M97" s="45" t="n">
        <x:v>0.017160382988270117</x:v>
      </x:c>
      <x:c r="N97" s="46" t="n">
        <x:v>-31.706012272389998</x:v>
      </x:c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 ht="15" hidden="0" customHeight="1">
      <x:c r="A98" s="44" t="n">
        <x:v>0.4655862068965517</x:v>
      </x:c>
      <x:c r="B98" s="44" t="n">
        <x:v>13.679161999627519</x:v>
      </x:c>
      <x:c r="C98" s="45" t="n">
        <x:v>0.3258925456856714</x:v>
      </x:c>
      <x:c r="D98" s="45" t="n">
        <x:v>0.34018688575235245</x:v>
      </x:c>
      <x:c r="E98" s="45" t="n">
        <x:v>0.011502352315854353</x:v>
      </x:c>
      <x:c r="F98" s="45" t="n">
        <x:v>0.004526111538</x:v>
      </x:c>
      <x:c r="G98" s="52" t="n">
        <x:f>((N98*1000*I33/(C33*COS(RADIANS(Inputs!$B$13))))-((G33*1000000*I33/COS(RADIANS(Inputs!$B$13)))*C98/(D33*COS(RADIANS(Inputs!$B$13))*Inputs!$B$47)))/1000000</x:f>
        <x:v>-141.62029714119657</x:v>
      </x:c>
      <x:c r="H98" s="52" t="n">
        <x:f>((N98*1000*I33/(C33*COS(RADIANS(Inputs!$B$13))))+((G33*1000000*I33/COS(RADIANS(Inputs!$B$13)))*D98/(D33*COS(RADIANS(Inputs!$B$13))*Inputs!$B$47)))/1000000</x:f>
        <x:v>147.2254908265372</x:v>
      </x:c>
      <x:c r="I98" s="52" t="n">
        <x:f>ABS(F33*1000*I33)/(E98*COS(RADIANS(Inputs!$B$13)))/1000000</x:f>
        <x:v>45.43696578816995</x:v>
      </x:c>
      <x:c r="J98" s="52" t="n">
        <x:f>ABS(H33*1000000*I33/COS(RADIANS(Inputs!$B$13)))/(2*(E33*COS(RADIANS(Inputs!$B$13)))*F98)/1000000</x:f>
        <x:v>1.7208468487845698</x:v>
      </x:c>
      <x:c r="K98" s="52" t="n">
        <x:f>SQRT(MAX(ABS(G98),ABS(H98))^2+3*(I98+J98)^2)</x:f>
        <x:v>168.3654448728156</x:v>
      </x:c>
      <x:c r="L98" s="47" t="n">
        <x:f>Inputs!$B$43/1000000/K98</x:f>
        <x:v>2.4945736360407613</x:v>
      </x:c>
      <x:c r="M98" s="45" t="n">
        <x:v>0.01672586279976075</x:v>
      </x:c>
      <x:c r="N98" s="46" t="n">
        <x:v>-31.08009547339</x:v>
      </x:c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 ht="15" hidden="0" customHeight="1">
      <x:c r="A99" s="44" t="n">
        <x:v>0.4827931034482759</x:v>
      </x:c>
      <x:c r="B99" s="44" t="n">
        <x:v>14.184709462063761</x:v>
      </x:c>
      <x:c r="C99" s="45" t="n">
        <x:v>0.3172535276974022</x:v>
      </x:c>
      <x:c r="D99" s="45" t="n">
        <x:v>0.33153821680297746</x:v>
      </x:c>
      <x:c r="E99" s="45" t="n">
        <x:v>0.011260730749960157</x:v>
      </x:c>
      <x:c r="F99" s="45" t="n">
        <x:v>0.004526111538</x:v>
      </x:c>
      <x:c r="G99" s="52" t="n">
        <x:f>((N99*1000*I34/(C34*COS(RADIANS(Inputs!$B$13))))-((G34*1000000*I34/COS(RADIANS(Inputs!$B$13)))*C99/(D34*COS(RADIANS(Inputs!$B$13))*Inputs!$B$47)))/1000000</x:f>
        <x:v>-141.80782272161764</x:v>
      </x:c>
      <x:c r="H99" s="52" t="n">
        <x:f>((N99*1000*I34/(C34*COS(RADIANS(Inputs!$B$13))))+((G34*1000000*I34/COS(RADIANS(Inputs!$B$13)))*D99/(D34*COS(RADIANS(Inputs!$B$13))*Inputs!$B$47)))/1000000</x:f>
        <x:v>147.5658919880331</x:v>
      </x:c>
      <x:c r="I99" s="52" t="n">
        <x:f>ABS(F34*1000*I34)/(E99*COS(RADIANS(Inputs!$B$13)))/1000000</x:f>
        <x:v>44.471225032708006</x:v>
      </x:c>
      <x:c r="J99" s="52" t="n">
        <x:f>ABS(H34*1000000*I34/COS(RADIANS(Inputs!$B$13)))/(2*(E34*COS(RADIANS(Inputs!$B$13)))*F99)/1000000</x:f>
        <x:v>1.7236429435330387</x:v>
      </x:c>
      <x:c r="K99" s="52" t="n">
        <x:f>SQRT(MAX(ABS(G99),ABS(H99))^2+3*(I99+J99)^2)</x:f>
        <x:v>167.86181805357307</x:v>
      </x:c>
      <x:c r="L99" s="47" t="n">
        <x:f>Inputs!$B$43/1000000/K99</x:f>
        <x:v>2.5020579716702285</x:v>
      </x:c>
      <x:c r="M99" s="45" t="n">
        <x:v>0.016201175348307808</x:v>
      </x:c>
      <x:c r="N99" s="46" t="n">
        <x:v>-30.396112698289997</x:v>
      </x:c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 ht="15" hidden="0" customHeight="1">
      <x:c r="A100" s="44" t="n">
        <x:v>0.5</x:v>
      </x:c>
      <x:c r="B100" s="44" t="n">
        <x:v>14.690256924500002</x:v>
      </x:c>
      <x:c r="C100" s="45" t="n">
        <x:v>0.30917965901250355</x:v>
      </x:c>
      <x:c r="D100" s="45" t="n">
        <x:v>0.32303468532831126</x:v>
      </x:c>
      <x:c r="E100" s="45" t="n">
        <x:v>0.010956220970974446</x:v>
      </x:c>
      <x:c r="F100" s="45" t="n">
        <x:v>0.004526111538</x:v>
      </x:c>
      <x:c r="G100" s="52" t="n">
        <x:f>((N100*1000*I35/(C35*COS(RADIANS(Inputs!$B$13))))-((G35*1000000*I35/COS(RADIANS(Inputs!$B$13)))*C100/(D35*COS(RADIANS(Inputs!$B$13))*Inputs!$B$47)))/1000000</x:f>
        <x:v>-142.34010733232944</x:v>
      </x:c>
      <x:c r="H100" s="52" t="n">
        <x:f>((N100*1000*I35/(C35*COS(RADIANS(Inputs!$B$13))))+((G35*1000000*I35/COS(RADIANS(Inputs!$B$13)))*D100/(D35*COS(RADIANS(Inputs!$B$13))*Inputs!$B$47)))/1000000</x:f>
        <x:v>148.06965498772777</x:v>
      </x:c>
      <x:c r="I100" s="52" t="n">
        <x:f>ABS(F35*1000*I35)/(E100*COS(RADIANS(Inputs!$B$13)))/1000000</x:f>
        <x:v>43.63834396025004</x:v>
      </x:c>
      <x:c r="J100" s="52" t="n">
        <x:f>ABS(H35*1000000*I35/COS(RADIANS(Inputs!$B$13)))/(2*(E35*COS(RADIANS(Inputs!$B$13)))*F100)/1000000</x:f>
        <x:v>1.7240395923880418</x:v>
      </x:c>
      <x:c r="K100" s="52" t="n">
        <x:f>SQRT(MAX(ABS(G100),ABS(H100))^2+3*(I100+J100)^2)</x:f>
        <x:v>167.62416369042586</x:v>
      </x:c>
      <x:c r="L100" s="47" t="n">
        <x:f>Inputs!$B$43/1000000/K100</x:f>
        <x:v>2.5056053420536113</x:v>
      </x:c>
      <x:c r="M100" s="45" t="n">
        <x:v>0.015643103789094292</x:v>
      </x:c>
      <x:c r="N100" s="46" t="n">
        <x:v>-29.67226775709</x:v>
      </x:c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 ht="15" hidden="0" customHeight="1">
      <x:c r="A101" s="44" t="n">
        <x:v>0.5172068965517241</x:v>
      </x:c>
      <x:c r="B101" s="44" t="n">
        <x:v>15.195804386936242</x:v>
      </x:c>
      <x:c r="C101" s="45" t="n">
        <x:v>0.30173606658809415</x:v>
      </x:c>
      <x:c r="D101" s="45" t="n">
        <x:v>0.31473291086508226</x:v>
      </x:c>
      <x:c r="E101" s="45" t="n">
        <x:v>0.010560823039627666</x:v>
      </x:c>
      <x:c r="F101" s="45" t="n">
        <x:v>0.004526111538</x:v>
      </x:c>
      <x:c r="G101" s="52" t="n">
        <x:f>((N101*1000*I36/(C36*COS(RADIANS(Inputs!$B$13))))-((G36*1000000*I36/COS(RADIANS(Inputs!$B$13)))*C101/(D36*COS(RADIANS(Inputs!$B$13))*Inputs!$B$47)))/1000000</x:f>
        <x:v>-143.0701996944076</x:v>
      </x:c>
      <x:c r="H101" s="52" t="n">
        <x:f>((N101*1000*I36/(C36*COS(RADIANS(Inputs!$B$13))))+((G36*1000000*I36/COS(RADIANS(Inputs!$B$13)))*D101/(D36*COS(RADIANS(Inputs!$B$13))*Inputs!$B$47)))/1000000</x:f>
        <x:v>148.56125843465645</x:v>
      </x:c>
      <x:c r="I101" s="52" t="n">
        <x:f>ABS(F36*1000*I36)/(E101*COS(RADIANS(Inputs!$B$13)))/1000000</x:f>
        <x:v>43.01327343956442</x:v>
      </x:c>
      <x:c r="J101" s="52" t="n">
        <x:f>ABS(H36*1000000*I36/COS(RADIANS(Inputs!$B$13)))/(2*(E36*COS(RADIANS(Inputs!$B$13)))*F101)/1000000</x:f>
        <x:v>1.7451252056582869</x:v>
      </x:c>
      <x:c r="K101" s="52" t="n">
        <x:f>SQRT(MAX(ABS(G101),ABS(H101))^2+3*(I101+J101)^2)</x:f>
        <x:v>167.57204497034346</x:v>
      </x:c>
      <x:c r="L101" s="47" t="n">
        <x:f>Inputs!$B$43/1000000/K101</x:f>
        <x:v>2.5063846423449134</x:v>
      </x:c>
      <x:c r="M101" s="45" t="n">
        <x:v>0.015063011519774282</x:v>
      </x:c>
      <x:c r="N101" s="46" t="n">
        <x:v>-28.8573109752</x:v>
      </x:c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 ht="15" hidden="0" customHeight="1">
      <x:c r="A102" s="44" t="n">
        <x:v>0.5344137931034483</x:v>
      </x:c>
      <x:c r="B102" s="44" t="n">
        <x:v>15.701351849372484</x:v>
      </x:c>
      <x:c r="C102" s="45" t="n">
        <x:v>0.29466021812966225</x:v>
      </x:c>
      <x:c r="D102" s="45" t="n">
        <x:v>0.3069990778758509</x:v>
      </x:c>
      <x:c r="E102" s="45" t="n">
        <x:v>0.010119904173283461</x:v>
      </x:c>
      <x:c r="F102" s="45" t="n">
        <x:v>0.004526111538</x:v>
      </x:c>
      <x:c r="G102" s="52" t="n">
        <x:f>((N102*1000*I37/(C37*COS(RADIANS(Inputs!$B$13))))-((G37*1000000*I37/COS(RADIANS(Inputs!$B$13)))*C102/(D37*COS(RADIANS(Inputs!$B$13))*Inputs!$B$47)))/1000000</x:f>
        <x:v>-143.8537414374137</x:v>
      </x:c>
      <x:c r="H102" s="52" t="n">
        <x:f>((N102*1000*I37/(C37*COS(RADIANS(Inputs!$B$13))))+((G37*1000000*I37/COS(RADIANS(Inputs!$B$13)))*D102/(D37*COS(RADIANS(Inputs!$B$13))*Inputs!$B$47)))/1000000</x:f>
        <x:v>149.17907484068772</x:v>
      </x:c>
      <x:c r="I102" s="52" t="n">
        <x:f>ABS(F37*1000*I37)/(E102*COS(RADIANS(Inputs!$B$13)))/1000000</x:f>
        <x:v>42.884210799497</x:v>
      </x:c>
      <x:c r="J102" s="52" t="n">
        <x:f>ABS(H37*1000000*I37/COS(RADIANS(Inputs!$B$13)))/(2*(E37*COS(RADIANS(Inputs!$B$13)))*F102)/1000000</x:f>
        <x:v>1.5941195380605668</x:v>
      </x:c>
      <x:c r="K102" s="52" t="n">
        <x:f>SQRT(MAX(ABS(G102),ABS(H102))^2+3*(I102+J102)^2)</x:f>
        <x:v>167.89687900367352</x:v>
      </x:c>
      <x:c r="L102" s="47" t="n">
        <x:f>Inputs!$B$43/1000000/K102</x:f>
        <x:v>2.501535481137863</x:v>
      </x:c>
      <x:c r="M102" s="45" t="n">
        <x:v>0.01447951766369022</x:v>
      </x:c>
      <x:c r="N102" s="46" t="n">
        <x:v>-28.1331082218</x:v>
      </x:c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 ht="15" hidden="0" customHeight="1">
      <x:c r="A103" s="44" t="n">
        <x:v>0.5516206896551724</x:v>
      </x:c>
      <x:c r="B103" s="44" t="n">
        <x:v>16.206899311808726</x:v>
      </x:c>
      <x:c r="C103" s="45" t="n">
        <x:v>0.2872438819857752</x:v>
      </x:c>
      <x:c r="D103" s="45" t="n">
        <x:v>0.3000398306619969</x:v>
      </x:c>
      <x:c r="E103" s="45" t="n">
        <x:v>0.010137485003990716</x:v>
      </x:c>
      <x:c r="F103" s="45" t="n">
        <x:v>0.004526111538</x:v>
      </x:c>
      <x:c r="G103" s="52" t="n">
        <x:f>((N103*1000*I38/(C38*COS(RADIANS(Inputs!$B$13))))-((G38*1000000*I38/COS(RADIANS(Inputs!$B$13)))*C103/(D38*COS(RADIANS(Inputs!$B$13))*Inputs!$B$47)))/1000000</x:f>
        <x:v>-143.75811940169086</x:v>
      </x:c>
      <x:c r="H103" s="52" t="n">
        <x:f>((N103*1000*I38/(C38*COS(RADIANS(Inputs!$B$13))))+((G38*1000000*I38/COS(RADIANS(Inputs!$B$13)))*D103/(D38*COS(RADIANS(Inputs!$B$13))*Inputs!$B$47)))/1000000</x:f>
        <x:v>149.44073208633273</x:v>
      </x:c>
      <x:c r="I103" s="52" t="n">
        <x:f>ABS(F38*1000*I38)/(E103*COS(RADIANS(Inputs!$B$13)))/1000000</x:f>
        <x:v>41.21527239896927</x:v>
      </x:c>
      <x:c r="J103" s="52" t="n">
        <x:f>ABS(H38*1000000*I38/COS(RADIANS(Inputs!$B$13)))/(2*(E38*COS(RADIANS(Inputs!$B$13)))*F103)/1000000</x:f>
        <x:v>0.8005145526174107</x:v>
      </x:c>
      <x:c r="K103" s="52" t="n">
        <x:f>SQRT(MAX(ABS(G103),ABS(H103))^2+3*(I103+J103)^2)</x:f>
        <x:v>166.21826453787335</x:v>
      </x:c>
      <x:c r="L103" s="47" t="n">
        <x:f>Inputs!$B$43/1000000/K103</x:f>
        <x:v>2.5267981299630384</x:v>
      </x:c>
      <x:c r="M103" s="45" t="n">
        <x:v>0.013894180703964459</x:v>
      </x:c>
      <x:c r="N103" s="46" t="n">
        <x:v>-27.243973587600003</x:v>
      </x:c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 ht="15" hidden="0" customHeight="1">
      <x:c r="A104" s="44" t="n">
        <x:v>0.5688275862068967</x:v>
      </x:c>
      <x:c r="B104" s="44" t="n">
        <x:v>16.71244677424497</x:v>
      </x:c>
      <x:c r="C104" s="45" t="n">
        <x:v>0.28046517261819837</x:v>
      </x:c>
      <x:c r="D104" s="45" t="n">
        <x:v>0.292555612066419</x:v>
      </x:c>
      <x:c r="E104" s="45" t="n">
        <x:v>0.009983736580427406</x:v>
      </x:c>
      <x:c r="F104" s="45" t="n">
        <x:v>0.004526111538</x:v>
      </x:c>
      <x:c r="G104" s="52" t="n">
        <x:f>((N104*1000*I39/(C39*COS(RADIANS(Inputs!$B$13))))-((G39*1000000*I39/COS(RADIANS(Inputs!$B$13)))*C104/(D39*COS(RADIANS(Inputs!$B$13))*Inputs!$B$47)))/1000000</x:f>
        <x:v>-143.94344220309173</x:v>
      </x:c>
      <x:c r="H104" s="52" t="n">
        <x:f>((N104*1000*I39/(C39*COS(RADIANS(Inputs!$B$13))))+((G39*1000000*I39/COS(RADIANS(Inputs!$B$13)))*D104/(D39*COS(RADIANS(Inputs!$B$13))*Inputs!$B$47)))/1000000</x:f>
        <x:v>149.40309048011386</x:v>
      </x:c>
      <x:c r="I104" s="52" t="n">
        <x:f>ABS(F39*1000*I39)/(E104*COS(RADIANS(Inputs!$B$13)))/1000000</x:f>
        <x:v>39.71550207340272</x:v>
      </x:c>
      <x:c r="J104" s="52" t="n">
        <x:f>ABS(H39*1000000*I39/COS(RADIANS(Inputs!$B$13)))/(2*(E39*COS(RADIANS(Inputs!$B$13)))*F104)/1000000</x:f>
        <x:v>0.8902263725084658</x:v>
      </x:c>
      <x:c r="K104" s="52" t="n">
        <x:f>SQRT(MAX(ABS(G104),ABS(H104))^2+3*(I104+J104)^2)</x:f>
        <x:v>165.12952186958677</x:v>
      </x:c>
      <x:c r="L104" s="47" t="n">
        <x:f>Inputs!$B$43/1000000/K104</x:f>
        <x:v>2.543457979195874</x:v>
      </x:c>
      <x:c r="M104" s="45" t="n">
        <x:v>0.013295655838425896</x:v>
      </x:c>
      <x:c r="N104" s="46" t="n">
        <x:v>-26.3290539839</x:v>
      </x:c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 ht="15" hidden="0" customHeight="1">
      <x:c r="A105" s="44" t="n">
        <x:v>0.5860344827586208</x:v>
      </x:c>
      <x:c r="B105" s="44" t="n">
        <x:v>17.21799423668121</x:v>
      </x:c>
      <x:c r="C105" s="45" t="n">
        <x:v>0.2741075682427576</x:v>
      </x:c>
      <x:c r="D105" s="45" t="n">
        <x:v>0.2849203013560295</x:v>
      </x:c>
      <x:c r="E105" s="45" t="n">
        <x:v>0.009897353295805406</x:v>
      </x:c>
      <x:c r="F105" s="45" t="n">
        <x:v>0.004526111538</x:v>
      </x:c>
      <x:c r="G105" s="52" t="n">
        <x:f>((N105*1000*I40/(C40*COS(RADIANS(Inputs!$B$13))))-((G40*1000000*I40/COS(RADIANS(Inputs!$B$13)))*C105/(D40*COS(RADIANS(Inputs!$B$13))*Inputs!$B$47)))/1000000</x:f>
        <x:v>-144.27049165877685</x:v>
      </x:c>
      <x:c r="H105" s="52" t="n">
        <x:f>((N105*1000*I40/(C40*COS(RADIANS(Inputs!$B$13))))+((G40*1000000*I40/COS(RADIANS(Inputs!$B$13)))*D105/(D40*COS(RADIANS(Inputs!$B$13))*Inputs!$B$47)))/1000000</x:f>
        <x:v>149.1898158469156</x:v>
      </x:c>
      <x:c r="I105" s="52" t="n">
        <x:f>ABS(F40*1000*I40)/(E105*COS(RADIANS(Inputs!$B$13)))/1000000</x:f>
        <x:v>37.98180255333723</x:v>
      </x:c>
      <x:c r="J105" s="52" t="n">
        <x:f>ABS(H40*1000000*I40/COS(RADIANS(Inputs!$B$13)))/(2*(E40*COS(RADIANS(Inputs!$B$13)))*F105)/1000000</x:f>
        <x:v>0.7672935068984811</x:v>
      </x:c>
      <x:c r="K105" s="52" t="n">
        <x:f>SQRT(MAX(ABS(G105),ABS(H105))^2+3*(I105+J105)^2)</x:f>
        <x:v>163.59119318866988</x:v>
      </x:c>
      <x:c r="L105" s="47" t="n">
        <x:f>Inputs!$B$43/1000000/K105</x:f>
        <x:v>2.567375369135022</x:v>
      </x:c>
      <x:c r="M105" s="45" t="n">
        <x:v>0.012694685808451768</x:v>
      </x:c>
      <x:c r="N105" s="46" t="n">
        <x:v>-25.4725429066</x:v>
      </x:c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 ht="15" hidden="0" customHeight="1">
      <x:c r="A106" s="44" t="n">
        <x:v>0.6032413793103448</x:v>
      </x:c>
      <x:c r="B106" s="44" t="n">
        <x:v>17.72354169911745</x:v>
      </x:c>
      <x:c r="C106" s="45" t="n">
        <x:v>0.26803535302059966</x:v>
      </x:c>
      <x:c r="D106" s="45" t="n">
        <x:v>0.2771224840211053</x:v>
      </x:c>
      <x:c r="E106" s="45" t="n">
        <x:v>0.009380574218651284</x:v>
      </x:c>
      <x:c r="F106" s="45" t="n">
        <x:v>0.004526111538</x:v>
      </x:c>
      <x:c r="G106" s="52" t="n">
        <x:f>((N106*1000*I41/(C41*COS(RADIANS(Inputs!$B$13))))-((G41*1000000*I41/COS(RADIANS(Inputs!$B$13)))*C106/(D41*COS(RADIANS(Inputs!$B$13))*Inputs!$B$47)))/1000000</x:f>
        <x:v>-144.8970748395422</x:v>
      </x:c>
      <x:c r="H106" s="52" t="n">
        <x:f>((N106*1000*I41/(C41*COS(RADIANS(Inputs!$B$13))))+((G41*1000000*I41/COS(RADIANS(Inputs!$B$13)))*D106/(D41*COS(RADIANS(Inputs!$B$13))*Inputs!$B$47)))/1000000</x:f>
        <x:v>149.01031312744973</x:v>
      </x:c>
      <x:c r="I106" s="52" t="n">
        <x:f>ABS(F41*1000*I41)/(E106*COS(RADIANS(Inputs!$B$13)))/1000000</x:f>
        <x:v>37.663754233757</x:v>
      </x:c>
      <x:c r="J106" s="52" t="n">
        <x:f>ABS(H41*1000000*I41/COS(RADIANS(Inputs!$B$13)))/(2*(E41*COS(RADIANS(Inputs!$B$13)))*F106)/1000000</x:f>
        <x:v>0.8574017422476559</x:v>
      </x:c>
      <x:c r="K106" s="52" t="n">
        <x:f>SQRT(MAX(ABS(G106),ABS(H106))^2+3*(I106+J106)^2)</x:f>
        <x:v>163.26577042210548</x:v>
      </x:c>
      <x:c r="L106" s="47" t="n">
        <x:f>Inputs!$B$43/1000000/K106</x:f>
        <x:v>2.5724926842542484</x:v>
      </x:c>
      <x:c r="M106" s="45" t="n">
        <x:v>0.012100916804474107</x:v>
      </x:c>
      <x:c r="N106" s="46" t="n">
        <x:v>-24.494308955</x:v>
      </x:c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 ht="15" hidden="0" customHeight="1">
      <x:c r="A107" s="44" t="n">
        <x:v>0.620448275862069</x:v>
      </x:c>
      <x:c r="B107" s="44" t="n">
        <x:v>18.22908916155369</x:v>
      </x:c>
      <x:c r="C107" s="45" t="n">
        <x:v>0.2620150525636964</x:v>
      </x:c>
      <x:c r="D107" s="45" t="n">
        <x:v>0.2696661431017171</x:v>
      </x:c>
      <x:c r="E107" s="45" t="n">
        <x:v>0.008935002576978638</x:v>
      </x:c>
      <x:c r="F107" s="45" t="n">
        <x:v>0.004526111538</x:v>
      </x:c>
      <x:c r="G107" s="52" t="n">
        <x:f>((N107*1000*I42/(C42*COS(RADIANS(Inputs!$B$13))))-((G42*1000000*I42/COS(RADIANS(Inputs!$B$13)))*C107/(D42*COS(RADIANS(Inputs!$B$13))*Inputs!$B$47)))/1000000</x:f>
        <x:v>-145.36139145315656</x:v>
      </x:c>
      <x:c r="H107" s="52" t="n">
        <x:f>((N107*1000*I42/(C42*COS(RADIANS(Inputs!$B$13))))+((G42*1000000*I42/COS(RADIANS(Inputs!$B$13)))*D107/(D42*COS(RADIANS(Inputs!$B$13))*Inputs!$B$47)))/1000000</x:f>
        <x:v>148.78032879228473</x:v>
      </x:c>
      <x:c r="I107" s="52" t="n">
        <x:f>ABS(F42*1000*I42)/(E107*COS(RADIANS(Inputs!$B$13)))/1000000</x:f>
        <x:v>37.248392108147236</x:v>
      </x:c>
      <x:c r="J107" s="52" t="n">
        <x:f>ABS(H42*1000000*I42/COS(RADIANS(Inputs!$B$13)))/(2*(E42*COS(RADIANS(Inputs!$B$13)))*F107)/1000000</x:f>
        <x:v>0.9020862073120252</x:v>
      </x:c>
      <x:c r="K107" s="52" t="n">
        <x:f>SQRT(MAX(ABS(G107),ABS(H107))^2+3*(I107+J107)^2)</x:f>
        <x:v>162.79423583971067</x:v>
      </x:c>
      <x:c r="L107" s="47" t="n">
        <x:f>Inputs!$B$43/1000000/K107</x:f>
        <x:v>2.5799439263533723</x:v>
      </x:c>
      <x:c r="M107" s="45" t="n">
        <x:v>0.011527197061707151</x:v>
      </x:c>
      <x:c r="N107" s="46" t="n">
        <x:v>-23.4726688774</x:v>
      </x:c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 ht="15" hidden="0" customHeight="1">
      <x:c r="A108" s="44" t="n">
        <x:v>0.6376551724137932</x:v>
      </x:c>
      <x:c r="B108" s="44" t="n">
        <x:v>18.734636623989935</x:v>
      </x:c>
      <x:c r="C108" s="45" t="n">
        <x:v>0.2547053518017872</x:v>
      </x:c>
      <x:c r="D108" s="45" t="n">
        <x:v>0.2635736430511306</x:v>
      </x:c>
      <x:c r="E108" s="45" t="n">
        <x:v>0.006967050268902737</x:v>
      </x:c>
      <x:c r="F108" s="45" t="n">
        <x:v>0.004526111538</x:v>
      </x:c>
      <x:c r="G108" s="52" t="n">
        <x:f>((N108*1000*I43/(C43*COS(RADIANS(Inputs!$B$13))))-((G43*1000000*I43/COS(RADIANS(Inputs!$B$13)))*C108/(D43*COS(RADIANS(Inputs!$B$13))*Inputs!$B$47)))/1000000</x:f>
        <x:v>-145.39584586223057</x:v>
      </x:c>
      <x:c r="H108" s="52" t="n">
        <x:f>((N108*1000*I43/(C43*COS(RADIANS(Inputs!$B$13))))+((G43*1000000*I43/COS(RADIANS(Inputs!$B$13)))*D108/(D43*COS(RADIANS(Inputs!$B$13))*Inputs!$B$47)))/1000000</x:f>
        <x:v>149.5825689687665</x:v>
      </x:c>
      <x:c r="I108" s="52" t="n">
        <x:f>ABS(F43*1000*I43)/(E108*COS(RADIANS(Inputs!$B$13)))/1000000</x:f>
        <x:v>44.49653986028416</x:v>
      </x:c>
      <x:c r="J108" s="52" t="n">
        <x:f>ABS(H43*1000000*I43/COS(RADIANS(Inputs!$B$13)))/(2*(E43*COS(RADIANS(Inputs!$B$13)))*F108)/1000000</x:f>
        <x:v>0.777466829040271</x:v>
      </x:c>
      <x:c r="K108" s="52" t="n">
        <x:f>SQRT(MAX(ABS(G108),ABS(H108))^2+3*(I108+J108)^2)</x:f>
        <x:v>168.89094701733057</x:v>
      </x:c>
      <x:c r="L108" s="47" t="n">
        <x:f>Inputs!$B$43/1000000/K108</x:f>
        <x:v>2.486811800261278</x:v>
      </x:c>
      <x:c r="M108" s="45" t="n">
        <x:v>0.010963507262356856</x:v>
      </x:c>
      <x:c r="N108" s="46" t="n">
        <x:v>-22.372592778900003</x:v>
      </x:c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 ht="15" hidden="0" customHeight="1">
      <x:c r="A109" s="44" t="n">
        <x:v>0.6548620689655172</x:v>
      </x:c>
      <x:c r="B109" s="44" t="n">
        <x:v>19.240184086426176</x:v>
      </x:c>
      <x:c r="C109" s="45" t="n">
        <x:v>0.246590734741579</x:v>
      </x:c>
      <x:c r="D109" s="45" t="n">
        <x:v>0.2586934468105442</x:v>
      </x:c>
      <x:c r="E109" s="45" t="n">
        <x:v>0.006705366629427446</x:v>
      </x:c>
      <x:c r="F109" s="45" t="n">
        <x:v>0.004526111538</x:v>
      </x:c>
      <x:c r="G109" s="52" t="n">
        <x:f>((N109*1000*I44/(C44*COS(RADIANS(Inputs!$B$13))))-((G44*1000000*I44/COS(RADIANS(Inputs!$B$13)))*C109/(D44*COS(RADIANS(Inputs!$B$13))*Inputs!$B$47)))/1000000</x:f>
        <x:v>-143.24909529468337</x:v>
      </x:c>
      <x:c r="H109" s="52" t="n">
        <x:f>((N109*1000*I44/(C44*COS(RADIANS(Inputs!$B$13))))+((G44*1000000*I44/COS(RADIANS(Inputs!$B$13)))*D109/(D44*COS(RADIANS(Inputs!$B$13))*Inputs!$B$47)))/1000000</x:f>
        <x:v>149.368278254332</x:v>
      </x:c>
      <x:c r="I109" s="52" t="n">
        <x:f>ABS(F44*1000*I44)/(E109*COS(RADIANS(Inputs!$B$13)))/1000000</x:f>
        <x:v>43.756345905930615</x:v>
      </x:c>
      <x:c r="J109" s="52" t="n">
        <x:f>ABS(H44*1000000*I44/COS(RADIANS(Inputs!$B$13)))/(2*(E44*COS(RADIANS(Inputs!$B$13)))*F109)/1000000</x:f>
        <x:v>0.7076368684246453</x:v>
      </x:c>
      <x:c r="K109" s="52" t="n">
        <x:f>SQRT(MAX(ABS(G109),ABS(H109))^2+3*(I109+J109)^2)</x:f>
        <x:v>168.05362192210566</x:v>
      </x:c>
      <x:c r="L109" s="47" t="n">
        <x:f>Inputs!$B$43/1000000/K109</x:f>
        <x:v>2.4992023093359674</x:v>
      </x:c>
      <x:c r="M109" s="45" t="n">
        <x:v>0.010448999111987985</x:v>
      </x:c>
      <x:c r="N109" s="46" t="n">
        <x:v>-21.3795126312</x:v>
      </x:c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 ht="15" hidden="0" customHeight="1">
      <x:c r="A110" s="44" t="n">
        <x:v>0.6720689655172414</x:v>
      </x:c>
      <x:c r="B110" s="44" t="n">
        <x:v>19.745731548862416</x:v>
      </x:c>
      <x:c r="C110" s="45" t="n">
        <x:v>0.2377601435868284</x:v>
      </x:c>
      <x:c r="D110" s="45" t="n">
        <x:v>0.254503178737453</x:v>
      </x:c>
      <x:c r="E110" s="45" t="n">
        <x:v>0.008469197331637136</x:v>
      </x:c>
      <x:c r="F110" s="45" t="n">
        <x:v>0.004526111538</x:v>
      </x:c>
      <x:c r="G110" s="52" t="n">
        <x:f>((N110*1000*I45/(C45*COS(RADIANS(Inputs!$B$13))))-((G45*1000000*I45/COS(RADIANS(Inputs!$B$13)))*C110/(D45*COS(RADIANS(Inputs!$B$13))*Inputs!$B$47)))/1000000</x:f>
        <x:v>-137.63696704051907</x:v>
      </x:c>
      <x:c r="H110" s="52" t="n">
        <x:f>((N110*1000*I45/(C45*COS(RADIANS(Inputs!$B$13))))+((G45*1000000*I45/COS(RADIANS(Inputs!$B$13)))*D110/(D45*COS(RADIANS(Inputs!$B$13))*Inputs!$B$47)))/1000000</x:f>
        <x:v>146.42516903385803</x:v>
      </x:c>
      <x:c r="I110" s="52" t="n">
        <x:f>ABS(F45*1000*I45)/(E110*COS(RADIANS(Inputs!$B$13)))/1000000</x:f>
        <x:v>32.25475681392105</x:v>
      </x:c>
      <x:c r="J110" s="52" t="n">
        <x:f>ABS(H45*1000000*I45/COS(RADIANS(Inputs!$B$13)))/(2*(E45*COS(RADIANS(Inputs!$B$13)))*F110)/1000000</x:f>
        <x:v>0.78265999459363</x:v>
      </x:c>
      <x:c r="K110" s="52" t="n">
        <x:f>SQRT(MAX(ABS(G110),ABS(H110))^2+3*(I110+J110)^2)</x:f>
        <x:v>157.20923272738304</x:v>
      </x:c>
      <x:c r="L110" s="47" t="n">
        <x:f>Inputs!$B$43/1000000/K110</x:f>
        <x:v>2.671598815880764</x:v>
      </x:c>
      <x:c r="M110" s="45" t="n">
        <x:v>0.010020880649647661</x:v>
      </x:c>
      <x:c r="N110" s="46" t="n">
        <x:v>-20.2128714197</x:v>
      </x:c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 ht="15" hidden="0" customHeight="1">
      <x:c r="A111" s="44" t="n">
        <x:v>0.6892758620689656</x:v>
      </x:c>
      <x:c r="B111" s="44" t="n">
        <x:v>20.25127901129866</x:v>
      </x:c>
      <x:c r="C111" s="45" t="n">
        <x:v>0.22926210186316975</x:v>
      </x:c>
      <x:c r="D111" s="45" t="n">
        <x:v>0.2501458159609946</x:v>
      </x:c>
      <x:c r="E111" s="45" t="n">
        <x:v>0.008135214718406097</x:v>
      </x:c>
      <x:c r="F111" s="45" t="n">
        <x:v>0.004526111538</x:v>
      </x:c>
      <x:c r="G111" s="52" t="n">
        <x:f>((N111*1000*I46/(C46*COS(RADIANS(Inputs!$B$13))))-((G46*1000000*I46/COS(RADIANS(Inputs!$B$13)))*C111/(D46*COS(RADIANS(Inputs!$B$13))*Inputs!$B$47)))/1000000</x:f>
        <x:v>-133.17298313394292</x:v>
      </x:c>
      <x:c r="H111" s="52" t="n">
        <x:f>((N111*1000*I46/(C46*COS(RADIANS(Inputs!$B$13))))+((G46*1000000*I46/COS(RADIANS(Inputs!$B$13)))*D111/(D46*COS(RADIANS(Inputs!$B$13))*Inputs!$B$47)))/1000000</x:f>
        <x:v>144.38283101984456</x:v>
      </x:c>
      <x:c r="I111" s="52" t="n">
        <x:f>ABS(F46*1000*I46)/(E111*COS(RADIANS(Inputs!$B$13)))/1000000</x:f>
        <x:v>31.00479090871939</x:v>
      </x:c>
      <x:c r="J111" s="52" t="n">
        <x:f>ABS(H46*1000000*I46/COS(RADIANS(Inputs!$B$13)))/(2*(E46*COS(RADIANS(Inputs!$B$13)))*F111)/1000000</x:f>
        <x:v>0.8873590363749173</x:v>
      </x:c>
      <x:c r="K111" s="52" t="n">
        <x:f>SQRT(MAX(ABS(G111),ABS(H111))^2+3*(I111+J111)^2)</x:f>
        <x:v>154.588905092397</x:v>
      </x:c>
      <x:c r="L111" s="47" t="n">
        <x:f>Inputs!$B$43/1000000/K111</x:f>
        <x:v>2.716883205485983</x:v>
      </x:c>
      <x:c r="M111" s="45" t="n">
        <x:v>0.009625747493500236</x:v>
      </x:c>
      <x:c r="N111" s="46" t="n">
        <x:v>-18.9567567375</x:v>
      </x:c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 ht="15" hidden="0" customHeight="1">
      <x:c r="A112" s="44" t="n">
        <x:v>0.7064827586206897</x:v>
      </x:c>
      <x:c r="B112" s="44" t="n">
        <x:v>20.7568264737349</x:v>
      </x:c>
      <x:c r="C112" s="45" t="n">
        <x:v>0.22081217237573103</x:v>
      </x:c>
      <x:c r="D112" s="45" t="n">
        <x:v>0.24609154140690048</x:v>
      </x:c>
      <x:c r="E112" s="45" t="n">
        <x:v>0.007701345000073131</x:v>
      </x:c>
      <x:c r="F112" s="45" t="n">
        <x:v>0.004526111538</x:v>
      </x:c>
      <x:c r="G112" s="52" t="n">
        <x:f>((N112*1000*I47/(C47*COS(RADIANS(Inputs!$B$13))))-((G47*1000000*I47/COS(RADIANS(Inputs!$B$13)))*C112/(D47*COS(RADIANS(Inputs!$B$13))*Inputs!$B$47)))/1000000</x:f>
        <x:v>-128.37490449767796</x:v>
      </x:c>
      <x:c r="H112" s="52" t="n">
        <x:f>((N112*1000*I47/(C47*COS(RADIANS(Inputs!$B$13))))+((G47*1000000*I47/COS(RADIANS(Inputs!$B$13)))*D112/(D47*COS(RADIANS(Inputs!$B$13))*Inputs!$B$47)))/1000000</x:f>
        <x:v>142.1327290705606</x:v>
      </x:c>
      <x:c r="I112" s="52" t="n">
        <x:f>ABS(F47*1000*I47)/(E112*COS(RADIANS(Inputs!$B$13)))/1000000</x:f>
        <x:v>30.287112285883552</x:v>
      </x:c>
      <x:c r="J112" s="52" t="n">
        <x:f>ABS(H47*1000000*I47/COS(RADIANS(Inputs!$B$13)))/(2*(E47*COS(RADIANS(Inputs!$B$13)))*F112)/1000000</x:f>
        <x:v>0.9299754972568894</x:v>
      </x:c>
      <x:c r="K112" s="52" t="n">
        <x:f>SQRT(MAX(ABS(G112),ABS(H112))^2+3*(I112+J112)^2)</x:f>
        <x:v>152.06982732293173</x:v>
      </x:c>
      <x:c r="L112" s="47" t="n">
        <x:f>Inputs!$B$43/1000000/K112</x:f>
        <x:v>2.761889109718645</x:v>
      </x:c>
      <x:c r="M112" s="45" t="n">
        <x:v>0.00924088672764808</x:v>
      </x:c>
      <x:c r="N112" s="46" t="n">
        <x:v>-17.7043845486</x:v>
      </x:c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 ht="15" hidden="0" customHeight="1">
      <x:c r="A113" s="44" t="n">
        <x:v>0.7236896551724138</x:v>
      </x:c>
      <x:c r="B113" s="44" t="n">
        <x:v>21.26237393617114</x:v>
      </x:c>
      <x:c r="C113" s="45" t="n">
        <x:v>0.21118239963407603</x:v>
      </x:c>
      <x:c r="D113" s="45" t="n">
        <x:v>0.24355074173373836</x:v>
      </x:c>
      <x:c r="E113" s="45" t="n">
        <x:v>0.006036586437162225</x:v>
      </x:c>
      <x:c r="F113" s="45" t="n">
        <x:v>0.004526111538</x:v>
      </x:c>
      <x:c r="G113" s="52" t="n">
        <x:f>((N113*1000*I48/(C48*COS(RADIANS(Inputs!$B$13))))-((G48*1000000*I48/COS(RADIANS(Inputs!$B$13)))*C113/(D48*COS(RADIANS(Inputs!$B$13))*Inputs!$B$47)))/1000000</x:f>
        <x:v>-123.74129191777622</x:v>
      </x:c>
      <x:c r="H113" s="52" t="n">
        <x:f>((N113*1000*I48/(C48*COS(RADIANS(Inputs!$B$13))))+((G48*1000000*I48/COS(RADIANS(Inputs!$B$13)))*D113/(D48*COS(RADIANS(Inputs!$B$13))*Inputs!$B$47)))/1000000</x:f>
        <x:v>141.7105050508495</x:v>
      </x:c>
      <x:c r="I113" s="52" t="n">
        <x:f>ABS(F48*1000*I48)/(E113*COS(RADIANS(Inputs!$B$13)))/1000000</x:f>
        <x:v>35.55735196098423</x:v>
      </x:c>
      <x:c r="J113" s="52" t="n">
        <x:f>ABS(H48*1000000*I48/COS(RADIANS(Inputs!$B$13)))/(2*(E48*COS(RADIANS(Inputs!$B$13)))*F113)/1000000</x:f>
        <x:v>0.7844615324456097</x:v>
      </x:c>
      <x:c r="K113" s="52" t="n">
        <x:f>SQRT(MAX(ABS(G113),ABS(H113))^2+3*(I113+J113)^2)</x:f>
        <x:v>155.06143771338043</x:v>
      </x:c>
      <x:c r="L113" s="47" t="n">
        <x:f>Inputs!$B$43/1000000/K113</x:f>
        <x:v>2.7086038037151368</x:v>
      </x:c>
      <x:c r="M113" s="45" t="n">
        <x:v>0.008790551809109669</x:v>
      </x:c>
      <x:c r="N113" s="46" t="n">
        <x:v>-16.468498018</x:v>
      </x:c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 ht="15" hidden="0" customHeight="1">
      <x:c r="A114" s="44" t="n">
        <x:v>0.740896551724138</x:v>
      </x:c>
      <x:c r="B114" s="44" t="n">
        <x:v>21.767921398607385</x:v>
      </x:c>
      <x:c r="C114" s="45" t="n">
        <x:v>0.20239800563710464</x:v>
      </x:c>
      <x:c r="D114" s="45" t="n">
        <x:v>0.24022169124169768</x:v>
      </x:c>
      <x:c r="E114" s="45" t="n">
        <x:v>0.005803638486459989</x:v>
      </x:c>
      <x:c r="F114" s="45" t="n">
        <x:v>0.004526111538</x:v>
      </x:c>
      <x:c r="G114" s="52" t="n">
        <x:f>((N114*1000*I49/(C49*COS(RADIANS(Inputs!$B$13))))-((G49*1000000*I49/COS(RADIANS(Inputs!$B$13)))*C114/(D49*COS(RADIANS(Inputs!$B$13))*Inputs!$B$47)))/1000000</x:f>
        <x:v>-118.51410874935705</x:v>
      </x:c>
      <x:c r="H114" s="52" t="n">
        <x:f>((N114*1000*I49/(C49*COS(RADIANS(Inputs!$B$13))))+((G49*1000000*I49/COS(RADIANS(Inputs!$B$13)))*D114/(D49*COS(RADIANS(Inputs!$B$13))*Inputs!$B$47)))/1000000</x:f>
        <x:v>139.64406154627065</x:v>
      </x:c>
      <x:c r="I114" s="52" t="n">
        <x:f>ABS(F49*1000*I49)/(E114*COS(RADIANS(Inputs!$B$13)))/1000000</x:f>
        <x:v>34.20104798789685</x:v>
      </x:c>
      <x:c r="J114" s="52" t="n">
        <x:f>ABS(H49*1000000*I49/COS(RADIANS(Inputs!$B$13)))/(2*(E49*COS(RADIANS(Inputs!$B$13)))*F114)/1000000</x:f>
        <x:v>0.9372842059845182</x:v>
      </x:c>
      <x:c r="K114" s="52" t="n">
        <x:f>SQRT(MAX(ABS(G114),ABS(H114))^2+3*(I114+J114)^2)</x:f>
        <x:v>152.3304667269201</x:v>
      </x:c>
      <x:c r="L114" s="47" t="n">
        <x:f>Inputs!$B$43/1000000/K114</x:f>
        <x:v>2.757163481635791</x:v>
      </x:c>
      <x:c r="M114" s="45" t="n">
        <x:v>0.008329256468689945</x:v>
      </x:c>
      <x:c r="N114" s="46" t="n">
        <x:v>-15.1464091491</x:v>
      </x:c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 ht="15" hidden="0" customHeight="1">
      <x:c r="A115" s="44" t="n">
        <x:v>0.7581034482758622</x:v>
      </x:c>
      <x:c r="B115" s="44" t="n">
        <x:v>22.273468861043625</x:v>
      </x:c>
      <x:c r="C115" s="45" t="n">
        <x:v>0.1939605457270872</x:v>
      </x:c>
      <x:c r="D115" s="45" t="n">
        <x:v>0.2367465782772058</x:v>
      </x:c>
      <x:c r="E115" s="45" t="n">
        <x:v>0.0054953311003459295</x:v>
      </x:c>
      <x:c r="F115" s="45" t="n">
        <x:v>0.004526111538</x:v>
      </x:c>
      <x:c r="G115" s="52" t="n">
        <x:f>((N115*1000*I50/(C50*COS(RADIANS(Inputs!$B$13))))-((G50*1000000*I50/COS(RADIANS(Inputs!$B$13)))*C115/(D50*COS(RADIANS(Inputs!$B$13))*Inputs!$B$47)))/1000000</x:f>
        <x:v>-113.37153780916502</x:v>
      </x:c>
      <x:c r="H115" s="52" t="n">
        <x:f>((N115*1000*I50/(C50*COS(RADIANS(Inputs!$B$13))))+((G50*1000000*I50/COS(RADIANS(Inputs!$B$13)))*D115/(D50*COS(RADIANS(Inputs!$B$13))*Inputs!$B$47)))/1000000</x:f>
        <x:v>137.34825608742813</x:v>
      </x:c>
      <x:c r="I115" s="52" t="n">
        <x:f>ABS(F50*1000*I50)/(E115*COS(RADIANS(Inputs!$B$13)))/1000000</x:f>
        <x:v>32.743629204518534</x:v>
      </x:c>
      <x:c r="J115" s="52" t="n">
        <x:f>ABS(H50*1000000*I50/COS(RADIANS(Inputs!$B$13)))/(2*(E50*COS(RADIANS(Inputs!$B$13)))*F115)/1000000</x:f>
        <x:v>0.9866183813177053</x:v>
      </x:c>
      <x:c r="K115" s="52" t="n">
        <x:f>SQRT(MAX(ABS(G115),ABS(H115))^2+3*(I115+J115)^2)</x:f>
        <x:v>149.25726869021545</x:v>
      </x:c>
      <x:c r="L115" s="47" t="n">
        <x:f>Inputs!$B$43/1000000/K115</x:f>
        <x:v>2.813933309149004</x:v>
      </x:c>
      <x:c r="M115" s="45" t="n">
        <x:v>0.007863835200496749</x:v>
      </x:c>
      <x:c r="N115" s="46" t="n">
        <x:v>-13.749417299000001</x:v>
      </x:c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 ht="15" hidden="0" customHeight="1">
      <x:c r="A116" s="44" t="n">
        <x:v>0.7753103448275862</x:v>
      </x:c>
      <x:c r="B116" s="44" t="n">
        <x:v>22.779016323479865</x:v>
      </x:c>
      <x:c r="C116" s="45" t="n">
        <x:v>0.18608450555015033</x:v>
      </x:c>
      <x:c r="D116" s="45" t="n">
        <x:v>0.23236374796190518</x:v>
      </x:c>
      <x:c r="E116" s="45" t="n">
        <x:v>0.006920349699435781</x:v>
      </x:c>
      <x:c r="F116" s="45" t="n">
        <x:v>0.004526111538</x:v>
      </x:c>
      <x:c r="G116" s="52" t="n">
        <x:f>((N116*1000*I51/(C51*COS(RADIANS(Inputs!$B$13))))-((G51*1000000*I51/COS(RADIANS(Inputs!$B$13)))*C116/(D51*COS(RADIANS(Inputs!$B$13))*Inputs!$B$47)))/1000000</x:f>
        <x:v>-105.70129567247376</x:v>
      </x:c>
      <x:c r="H116" s="52" t="n">
        <x:f>((N116*1000*I51/(C51*COS(RADIANS(Inputs!$B$13))))+((G51*1000000*I51/COS(RADIANS(Inputs!$B$13)))*D116/(D51*COS(RADIANS(Inputs!$B$13))*Inputs!$B$47)))/1000000</x:f>
        <x:v>130.9966885699808</x:v>
      </x:c>
      <x:c r="I116" s="52" t="n">
        <x:f>ABS(F51*1000*I51)/(E116*COS(RADIANS(Inputs!$B$13)))/1000000</x:f>
        <x:v>23.59059177376813</x:v>
      </x:c>
      <x:c r="J116" s="52" t="n">
        <x:f>ABS(H51*1000000*I51/COS(RADIANS(Inputs!$B$13)))/(2*(E51*COS(RADIANS(Inputs!$B$13)))*F116)/1000000</x:f>
        <x:v>0.8313131620668467</x:v>
      </x:c>
      <x:c r="K116" s="52" t="n">
        <x:f>SQRT(MAX(ABS(G116),ABS(H116))^2+3*(I116+J116)^2)</x:f>
        <x:v>137.65689499035426</x:v>
      </x:c>
      <x:c r="L116" s="47" t="n">
        <x:f>Inputs!$B$43/1000000/K116</x:f>
        <x:v>3.051064024286105</x:v>
      </x:c>
      <x:c r="M116" s="45" t="n">
        <x:v>0.007444935767294681</x:v>
      </x:c>
      <x:c r="N116" s="46" t="n">
        <x:v>-12.498861040600001</x:v>
      </x:c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 ht="15" hidden="0" customHeight="1">
      <x:c r="A117" s="44" t="n">
        <x:v>0.7925172413793103</x:v>
      </x:c>
      <x:c r="B117" s="44" t="n">
        <x:v>23.284563785916106</x:v>
      </x:c>
      <x:c r="C117" s="45" t="n">
        <x:v>0.17800552096501132</x:v>
      </x:c>
      <x:c r="D117" s="45" t="n">
        <x:v>0.22780617243522627</x:v>
      </x:c>
      <x:c r="E117" s="45" t="n">
        <x:v>0.0053104834419015305</x:v>
      </x:c>
      <x:c r="F117" s="45" t="n">
        <x:v>0.004526111538</x:v>
      </x:c>
      <x:c r="G117" s="52" t="n">
        <x:f>((N117*1000*I52/(C52*COS(RADIANS(Inputs!$B$13))))-((G52*1000000*I52/COS(RADIANS(Inputs!$B$13)))*C117/(D52*COS(RADIANS(Inputs!$B$13))*Inputs!$B$47)))/1000000</x:f>
        <x:v>-99.0771328956923</x:v>
      </x:c>
      <x:c r="H117" s="52" t="n">
        <x:f>((N117*1000*I52/(C52*COS(RADIANS(Inputs!$B$13))))+((G52*1000000*I52/COS(RADIANS(Inputs!$B$13)))*D117/(D52*COS(RADIANS(Inputs!$B$13))*Inputs!$B$47)))/1000000</x:f>
        <x:v>125.7823690935909</x:v>
      </x:c>
      <x:c r="I117" s="52" t="n">
        <x:f>ABS(F52*1000*I52)/(E117*COS(RADIANS(Inputs!$B$13)))/1000000</x:f>
        <x:v>27.4026799238169</x:v>
      </x:c>
      <x:c r="J117" s="52" t="n">
        <x:f>ABS(H52*1000000*I52/COS(RADIANS(Inputs!$B$13)))/(2*(E52*COS(RADIANS(Inputs!$B$13)))*F117)/1000000</x:f>
        <x:v>1.0010643478063221</x:v>
      </x:c>
      <x:c r="K117" s="52" t="n">
        <x:f>SQRT(MAX(ABS(G117),ABS(H117))^2+3*(I117+J117)^2)</x:f>
        <x:v>135.06118036186282</x:v>
      </x:c>
      <x:c r="L117" s="47" t="n">
        <x:f>Inputs!$B$43/1000000/K117</x:f>
        <x:v>3.1097018319750687</x:v>
      </x:c>
      <x:c r="M117" s="45" t="n">
        <x:v>0.007114339247280062</x:v>
      </x:c>
      <x:c r="N117" s="46" t="n">
        <x:v>-11.0907820432</x:v>
      </x:c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 ht="15" hidden="0" customHeight="1">
      <x:c r="A118" s="44" t="n">
        <x:v>0.8097241379310346</x:v>
      </x:c>
      <x:c r="B118" s="44" t="n">
        <x:v>23.79011124835235</x:v>
      </x:c>
      <x:c r="C118" s="45" t="n">
        <x:v>0.17307918674339895</x:v>
      </x:c>
      <x:c r="D118" s="45" t="n">
        <x:v>0.2204544415045504</x:v>
      </x:c>
      <x:c r="E118" s="45" t="n">
        <x:v>0.005185094504382931</x:v>
      </x:c>
      <x:c r="F118" s="45" t="n">
        <x:v>0.004526111538</x:v>
      </x:c>
      <x:c r="G118" s="52" t="n">
        <x:f>((N118*1000*I53/(C53*COS(RADIANS(Inputs!$B$13))))-((G53*1000000*I53/COS(RADIANS(Inputs!$B$13)))*C118/(D53*COS(RADIANS(Inputs!$B$13))*Inputs!$B$47)))/1000000</x:f>
        <x:v>-91.81173568396476</x:v>
      </x:c>
      <x:c r="H118" s="52" t="n">
        <x:f>((N118*1000*I53/(C53*COS(RADIANS(Inputs!$B$13))))+((G53*1000000*I53/COS(RADIANS(Inputs!$B$13)))*D118/(D53*COS(RADIANS(Inputs!$B$13))*Inputs!$B$47)))/1000000</x:f>
        <x:v>115.98129363772892</x:v>
      </x:c>
      <x:c r="I118" s="52" t="n">
        <x:f>ABS(F53*1000*I53)/(E118*COS(RADIANS(Inputs!$B$13)))/1000000</x:f>
        <x:v>24.723566426540323</x:v>
      </x:c>
      <x:c r="J118" s="52" t="n">
        <x:f>ABS(H53*1000000*I53/COS(RADIANS(Inputs!$B$13)))/(2*(E53*COS(RADIANS(Inputs!$B$13)))*F118)/1000000</x:f>
        <x:v>1.117522997891435</x:v>
      </x:c>
      <x:c r="K118" s="52" t="n">
        <x:f>SQRT(MAX(ABS(G118),ABS(H118))^2+3*(I118+J118)^2)</x:f>
        <x:v>124.3179238155365</x:v>
      </x:c>
      <x:c r="L118" s="47" t="n">
        <x:f>Inputs!$B$43/1000000/K118</x:f>
        <x:v>3.3784347993391357</x:v>
      </x:c>
      <x:c r="M118" s="45" t="n">
        <x:v>0.006763611295345549</x:v>
      </x:c>
      <x:c r="N118" s="46" t="n">
        <x:v>-9.6512171083</x:v>
      </x:c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 ht="15" hidden="0" customHeight="1">
      <x:c r="A119" s="44" t="n">
        <x:v>0.8269310344827586</x:v>
      </x:c>
      <x:c r="B119" s="44" t="n">
        <x:v>24.29565871078859</x:v>
      </x:c>
      <x:c r="C119" s="45" t="n">
        <x:v>0.16850500190730067</x:v>
      </x:c>
      <x:c r="D119" s="45" t="n">
        <x:v>0.2128313886204971</x:v>
      </x:c>
      <x:c r="E119" s="45" t="n">
        <x:v>0.005005373313852199</x:v>
      </x:c>
      <x:c r="F119" s="45" t="n">
        <x:v>0.004526111538</x:v>
      </x:c>
      <x:c r="G119" s="52" t="n">
        <x:f>((N119*1000*I54/(C54*COS(RADIANS(Inputs!$B$13))))-((G54*1000000*I54/COS(RADIANS(Inputs!$B$13)))*C119/(D54*COS(RADIANS(Inputs!$B$13))*Inputs!$B$47)))/1000000</x:f>
        <x:v>-84.19484408170416</x:v>
      </x:c>
      <x:c r="H119" s="52" t="n">
        <x:f>((N119*1000*I54/(C54*COS(RADIANS(Inputs!$B$13))))+((G54*1000000*I54/COS(RADIANS(Inputs!$B$13)))*D119/(D54*COS(RADIANS(Inputs!$B$13))*Inputs!$B$47)))/1000000</x:f>
        <x:v>105.44440703803963</x:v>
      </x:c>
      <x:c r="I119" s="52" t="n">
        <x:f>ABS(F54*1000*I54)/(E119*COS(RADIANS(Inputs!$B$13)))/1000000</x:f>
        <x:v>22.405322654506946</x:v>
      </x:c>
      <x:c r="J119" s="52" t="n">
        <x:f>ABS(H54*1000000*I54/COS(RADIANS(Inputs!$B$13)))/(2*(E54*COS(RADIANS(Inputs!$B$13)))*F119)/1000000</x:f>
        <x:v>1.2394968831640227</x:v>
      </x:c>
      <x:c r="K119" s="52" t="n">
        <x:f>SQRT(MAX(ABS(G119),ABS(H119))^2+3*(I119+J119)^2)</x:f>
        <x:v>113.1183249898568</x:v>
      </x:c>
      <x:c r="L119" s="47" t="n">
        <x:f>Inputs!$B$43/1000000/K119</x:f>
        <x:v>3.7129262658164444</x:v>
      </x:c>
      <x:c r="M119" s="45" t="n">
        <x:v>0.006418150743741971</x:v>
      </x:c>
      <x:c r="N119" s="46" t="n">
        <x:v>-8.2535330641</x:v>
      </x:c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 ht="15" hidden="0" customHeight="1">
      <x:c r="A120" s="44" t="n">
        <x:v>0.8441379310344828</x:v>
      </x:c>
      <x:c r="B120" s="44" t="n">
        <x:v>24.80120617322483</x:v>
      </x:c>
      <x:c r="C120" s="45" t="n">
        <x:v>0.16356986232323933</x:v>
      </x:c>
      <x:c r="D120" s="45" t="n">
        <x:v>0.2054380711928694</x:v>
      </x:c>
      <x:c r="E120" s="45" t="n">
        <x:v>0.004763526527236972</x:v>
      </x:c>
      <x:c r="F120" s="45" t="n">
        <x:v>0.004526111538</x:v>
      </x:c>
      <x:c r="G120" s="52" t="n">
        <x:f>((N120*1000*I55/(C55*COS(RADIANS(Inputs!$B$13))))-((G55*1000000*I55/COS(RADIANS(Inputs!$B$13)))*C120/(D55*COS(RADIANS(Inputs!$B$13))*Inputs!$B$47)))/1000000</x:f>
        <x:v>-76.13290632892819</x:v>
      </x:c>
      <x:c r="H120" s="52" t="n">
        <x:f>((N120*1000*I55/(C55*COS(RADIANS(Inputs!$B$13))))+((G55*1000000*I55/COS(RADIANS(Inputs!$B$13)))*D120/(D55*COS(RADIANS(Inputs!$B$13))*Inputs!$B$47)))/1000000</x:f>
        <x:v>94.78750118705155</x:v>
      </x:c>
      <x:c r="I120" s="52" t="n">
        <x:f>ABS(F55*1000*I55)/(E120*COS(RADIANS(Inputs!$B$13)))/1000000</x:f>
        <x:v>20.672013984652217</x:v>
      </x:c>
      <x:c r="J120" s="52" t="n">
        <x:f>ABS(H55*1000000*I55/COS(RADIANS(Inputs!$B$13)))/(2*(E55*COS(RADIANS(Inputs!$B$13)))*F120)/1000000</x:f>
        <x:v>0.9767335471970985</x:v>
      </x:c>
      <x:c r="K120" s="52" t="n">
        <x:f>SQRT(MAX(ABS(G120),ABS(H120))^2+3*(I120+J120)^2)</x:f>
        <x:v>101.93466137864272</x:v>
      </x:c>
      <x:c r="L120" s="47" t="n">
        <x:f>Inputs!$B$43/1000000/K120</x:f>
        <x:v>4.120286410133679</x:v>
      </x:c>
      <x:c r="M120" s="45" t="n">
        <x:v>0.0060669024603436945</x:v>
      </x:c>
      <x:c r="N120" s="46" t="n">
        <x:v>-6.9340558204</x:v>
      </x:c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 ht="15" hidden="0" customHeight="1">
      <x:c r="A121" s="44" t="n">
        <x:v>0.861344827586207</x:v>
      </x:c>
      <x:c r="B121" s="44" t="n">
        <x:v>25.306753635661074</x:v>
      </x:c>
      <x:c r="C121" s="45" t="n">
        <x:v>0.1578237216916829</x:v>
      </x:c>
      <x:c r="D121" s="45" t="n">
        <x:v>0.19861976130417514</x:v>
      </x:c>
      <x:c r="E121" s="45" t="n">
        <x:v>0.004448280673407273</x:v>
      </x:c>
      <x:c r="F121" s="45" t="n">
        <x:v>0.004153072142</x:v>
      </x:c>
      <x:c r="G121" s="52" t="n">
        <x:f>((N121*1000*I56/(C56*COS(RADIANS(Inputs!$B$13))))-((G56*1000000*I56/COS(RADIANS(Inputs!$B$13)))*C121/(D56*COS(RADIANS(Inputs!$B$13))*Inputs!$B$47)))/1000000</x:f>
        <x:v>-67.22951242972535</x:v>
      </x:c>
      <x:c r="H121" s="52" t="n">
        <x:f>((N121*1000*I56/(C56*COS(RADIANS(Inputs!$B$13))))+((G56*1000000*I56/COS(RADIANS(Inputs!$B$13)))*D121/(D56*COS(RADIANS(Inputs!$B$13))*Inputs!$B$47)))/1000000</x:f>
        <x:v>83.863721795009</x:v>
      </x:c>
      <x:c r="I121" s="52" t="n">
        <x:f>ABS(F56*1000*I56)/(E121*COS(RADIANS(Inputs!$B$13)))/1000000</x:f>
        <x:v>18.753115136500192</x:v>
      </x:c>
      <x:c r="J121" s="52" t="n">
        <x:f>ABS(H56*1000000*I56/COS(RADIANS(Inputs!$B$13)))/(2*(E56*COS(RADIANS(Inputs!$B$13)))*F121)/1000000</x:f>
        <x:v>1.0202614195699502</x:v>
      </x:c>
      <x:c r="K121" s="52" t="n">
        <x:f>SQRT(MAX(ABS(G121),ABS(H121))^2+3*(I121+J121)^2)</x:f>
        <x:v>90.5874334253659</x:v>
      </x:c>
      <x:c r="L121" s="47" t="n">
        <x:f>Inputs!$B$43/1000000/K121</x:f>
        <x:v>4.6364046768808596</x:v>
      </x:c>
      <x:c r="M121" s="45" t="n">
        <x:v>0.005718466277845871</x:v>
      </x:c>
      <x:c r="N121" s="46" t="n">
        <x:v>-5.5438849686000005</x:v>
      </x:c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 ht="15" hidden="0" customHeight="1">
      <x:c r="A122" s="44" t="n">
        <x:v>0.8785517241379311</x:v>
      </x:c>
      <x:c r="B122" s="44" t="n">
        <x:v>25.812301098097315</x:v>
      </x:c>
      <x:c r="C122" s="45" t="n">
        <x:v>0.14834025881344903</x:v>
      </x:c>
      <x:c r="D122" s="45" t="n">
        <x:v>0.19550647896080342</x:v>
      </x:c>
      <x:c r="E122" s="45" t="n">
        <x:v>0.0030741893611534567</x:v>
      </x:c>
      <x:c r="F122" s="45" t="n">
        <x:v>0.004153072142</x:v>
      </x:c>
      <x:c r="G122" s="52" t="n">
        <x:f>((N122*1000*I57/(C57*COS(RADIANS(Inputs!$B$13))))-((G57*1000000*I57/COS(RADIANS(Inputs!$B$13)))*C122/(D57*COS(RADIANS(Inputs!$B$13))*Inputs!$B$47)))/1000000</x:f>
        <x:v>-57.49360243332362</x:v>
      </x:c>
      <x:c r="H122" s="52" t="n">
        <x:f>((N122*1000*I57/(C57*COS(RADIANS(Inputs!$B$13))))+((G57*1000000*I57/COS(RADIANS(Inputs!$B$13)))*D122/(D57*COS(RADIANS(Inputs!$B$13))*Inputs!$B$47)))/1000000</x:f>
        <x:v>75.07844416613217</x:v>
      </x:c>
      <x:c r="I122" s="52" t="n">
        <x:f>ABS(F57*1000*I57)/(E122*COS(RADIANS(Inputs!$B$13)))/1000000</x:f>
        <x:v>22.410311297857916</x:v>
      </x:c>
      <x:c r="J122" s="52" t="n">
        <x:f>ABS(H57*1000000*I57/COS(RADIANS(Inputs!$B$13)))/(2*(E57*COS(RADIANS(Inputs!$B$13)))*F122)/1000000</x:f>
        <x:v>0.9295699611359488</x:v>
      </x:c>
      <x:c r="K122" s="52" t="n">
        <x:f>SQRT(MAX(ABS(G122),ABS(H122))^2+3*(I122+J122)^2)</x:f>
        <x:v>85.27029347878911</x:v>
      </x:c>
      <x:c r="L122" s="47" t="n">
        <x:f>Inputs!$B$43/1000000/K122</x:f>
        <x:v>4.925513714861021</x:v>
      </x:c>
      <x:c r="M122" s="45" t="n">
        <x:v>0.005360040195327474</x:v>
      </x:c>
      <x:c r="N122" s="46" t="n">
        <x:v>-4.2285591635</x:v>
      </x:c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 ht="15" hidden="0" customHeight="1">
      <x:c r="A123" s="44" t="n">
        <x:v>0.8957586206896552</x:v>
      </x:c>
      <x:c r="B123" s="44" t="n">
        <x:v>26.317848560533555</x:v>
      </x:c>
      <x:c r="C123" s="45" t="n">
        <x:v>0.14394506321075706</x:v>
      </x:c>
      <x:c r="D123" s="45" t="n">
        <x:v>0.1870708497481539</x:v>
      </x:c>
      <x:c r="E123" s="45" t="n">
        <x:v>0.004447417153347858</x:v>
      </x:c>
      <x:c r="F123" s="45" t="n">
        <x:v>0.003771932572</x:v>
      </x:c>
      <x:c r="G123" s="52" t="n">
        <x:f>((N123*1000*I58/(C58*COS(RADIANS(Inputs!$B$13))))-((G58*1000000*I58/COS(RADIANS(Inputs!$B$13)))*C123/(D58*COS(RADIANS(Inputs!$B$13))*Inputs!$B$47)))/1000000</x:f>
        <x:v>-45.22940508988538</x:v>
      </x:c>
      <x:c r="H123" s="52" t="n">
        <x:f>((N123*1000*I58/(C58*COS(RADIANS(Inputs!$B$13))))+((G58*1000000*I58/COS(RADIANS(Inputs!$B$13)))*D123/(D58*COS(RADIANS(Inputs!$B$13))*Inputs!$B$47)))/1000000</x:f>
        <x:v>58.28844285109047</x:v>
      </x:c>
      <x:c r="I123" s="52" t="n">
        <x:f>ABS(F58*1000*I58)/(E123*COS(RADIANS(Inputs!$B$13)))/1000000</x:f>
        <x:v>12.429501886804893</x:v>
      </x:c>
      <x:c r="J123" s="52" t="n">
        <x:f>ABS(H58*1000000*I58/COS(RADIANS(Inputs!$B$13)))/(2*(E58*COS(RADIANS(Inputs!$B$13)))*F123)/1000000</x:f>
        <x:v>1.1414331449634598</x:v>
      </x:c>
      <x:c r="K123" s="52" t="n">
        <x:f>SQRT(MAX(ABS(G123),ABS(H123))^2+3*(I123+J123)^2)</x:f>
        <x:v>62.849450299221175</x:v>
      </x:c>
      <x:c r="L123" s="47" t="n">
        <x:f>Inputs!$B$43/1000000/K123</x:f>
        <x:v>6.682636013527785</x:v>
      </x:c>
      <x:c r="M123" s="45" t="n">
        <x:v>0.005009737561978077</x:v>
      </x:c>
      <x:c r="N123" s="46" t="n">
        <x:v>-2.9327279982</x:v>
      </x:c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 ht="15" hidden="0" customHeight="1">
      <x:c r="A124" s="44" t="n">
        <x:v>0.9129655172413793</x:v>
      </x:c>
      <x:c r="B124" s="44" t="n">
        <x:v>26.823396022969796</x:v>
      </x:c>
      <x:c r="C124" s="45" t="n">
        <x:v>0.14163823460532576</x:v>
      </x:c>
      <x:c r="D124" s="45" t="n">
        <x:v>0.17653815613776036</x:v>
      </x:c>
      <x:c r="E124" s="45" t="n">
        <x:v>0.004288185896404909</x:v>
      </x:c>
      <x:c r="F124" s="45" t="n">
        <x:v>0.003761654041</x:v>
      </x:c>
      <x:c r="G124" s="52" t="n">
        <x:f>((N124*1000*I59/(C59*COS(RADIANS(Inputs!$B$13))))-((G59*1000000*I59/COS(RADIANS(Inputs!$B$13)))*C124/(D59*COS(RADIANS(Inputs!$B$13))*Inputs!$B$47)))/1000000</x:f>
        <x:v>-34.44492454901821</x:v>
      </x:c>
      <x:c r="H124" s="52" t="n">
        <x:f>((N124*1000*I59/(C59*COS(RADIANS(Inputs!$B$13))))+((G59*1000000*I59/COS(RADIANS(Inputs!$B$13)))*D124/(D59*COS(RADIANS(Inputs!$B$13))*Inputs!$B$47)))/1000000</x:f>
        <x:v>42.60219404393131</x:v>
      </x:c>
      <x:c r="I124" s="52" t="n">
        <x:f>ABS(F59*1000*I59)/(E124*COS(RADIANS(Inputs!$B$13)))/1000000</x:f>
        <x:v>10.078005579102266</x:v>
      </x:c>
      <x:c r="J124" s="52" t="n">
        <x:f>ABS(H59*1000000*I59/COS(RADIANS(Inputs!$B$13)))/(2*(E59*COS(RADIANS(Inputs!$B$13)))*F124)/1000000</x:f>
        <x:v>1.0251692955178944</x:v>
      </x:c>
      <x:c r="K124" s="52" t="n">
        <x:f>SQRT(MAX(ABS(G124),ABS(H124))^2+3*(I124+J124)^2)</x:f>
        <x:v>46.74172027478199</x:v>
      </x:c>
      <x:c r="L124" s="47" t="n">
        <x:f>Inputs!$B$43/1000000/K124</x:f>
        <x:v>8.985548617614693</x:v>
      </x:c>
      <x:c r="M124" s="45" t="n">
        <x:v>0.004780320396065334</x:v>
      </x:c>
      <x:c r="N124" s="46" t="n">
        <x:v>-1.8248717601000002</x:v>
      </x:c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 ht="15" hidden="0" customHeight="1">
      <x:c r="A125" s="44" t="n">
        <x:v>0.9301724137931036</x:v>
      </x:c>
      <x:c r="B125" s="44" t="n">
        <x:v>27.32894348540604</x:v>
      </x:c>
      <x:c r="C125" s="45" t="n">
        <x:v>0.13970701999535962</x:v>
      </x:c>
      <x:c r="D125" s="45" t="n">
        <x:v>0.16553206724684433</x:v>
      </x:c>
      <x:c r="E125" s="45" t="n">
        <x:v>0.004047547728399939</x:v>
      </x:c>
      <x:c r="F125" s="45" t="n">
        <x:v>0.003751121061</x:v>
      </x:c>
      <x:c r="G125" s="52" t="n">
        <x:f>((N125*1000*I60/(C60*COS(RADIANS(Inputs!$B$13))))-((G60*1000000*I60/COS(RADIANS(Inputs!$B$13)))*C125/(D60*COS(RADIANS(Inputs!$B$13))*Inputs!$B$47)))/1000000</x:f>
        <x:v>-24.245247689442028</x:v>
      </x:c>
      <x:c r="H125" s="52" t="n">
        <x:f>((N125*1000*I60/(C60*COS(RADIANS(Inputs!$B$13))))+((G60*1000000*I60/COS(RADIANS(Inputs!$B$13)))*D125/(D60*COS(RADIANS(Inputs!$B$13))*Inputs!$B$47)))/1000000</x:f>
        <x:v>28.588136783167226</x:v>
      </x:c>
      <x:c r="I125" s="52" t="n">
        <x:f>ABS(F60*1000*I60)/(E125*COS(RADIANS(Inputs!$B$13)))/1000000</x:f>
        <x:v>7.7303350738791305</x:v>
      </x:c>
      <x:c r="J125" s="52" t="n">
        <x:f>ABS(H60*1000000*I60/COS(RADIANS(Inputs!$B$13)))/(2*(E60*COS(RADIANS(Inputs!$B$13)))*F125)/1000000</x:f>
        <x:v>0.9375629135812737</x:v>
      </x:c>
      <x:c r="K125" s="52" t="n">
        <x:f>SQRT(MAX(ABS(G125),ABS(H125))^2+3*(I125+J125)^2)</x:f>
        <x:v>32.29053934662813</x:v>
      </x:c>
      <x:c r="L125" s="47" t="n">
        <x:f>Inputs!$B$43/1000000/K125</x:f>
        <x:v>13.006905691213163</x:v>
      </x:c>
      <x:c r="M125" s="45" t="n">
        <x:v>0.004585207019440352</x:v>
      </x:c>
      <x:c r="N125" s="46" t="n">
        <x:v>-0.7110075137</x:v>
      </x:c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 ht="15" hidden="0" customHeight="1">
      <x:c r="A126" s="44" t="n">
        <x:v>0.9473793103448276</x:v>
      </x:c>
      <x:c r="B126" s="44" t="n">
        <x:v>27.83449094784228</x:v>
      </x:c>
      <x:c r="C126" s="45" t="n">
        <x:v>0.1372702204629057</x:v>
      </x:c>
      <x:c r="D126" s="45" t="n">
        <x:v>0.15532953067573185</x:v>
      </x:c>
      <x:c r="E126" s="45" t="n">
        <x:v>0.0037085888794688784</x:v>
      </x:c>
      <x:c r="F126" s="45" t="n">
        <x:v>0.003740529102</x:v>
      </x:c>
      <x:c r="G126" s="52" t="n">
        <x:f>((N126*1000*I61/(C61*COS(RADIANS(Inputs!$B$13))))-((G61*1000000*I61/COS(RADIANS(Inputs!$B$13)))*C126/(D61*COS(RADIANS(Inputs!$B$13))*Inputs!$B$47)))/1000000</x:f>
        <x:v>-15.053760825685112</x:v>
      </x:c>
      <x:c r="H126" s="52" t="n">
        <x:f>((N126*1000*I61/(C61*COS(RADIANS(Inputs!$B$13))))+((G61*1000000*I61/COS(RADIANS(Inputs!$B$13)))*D126/(D61*COS(RADIANS(Inputs!$B$13))*Inputs!$B$47)))/1000000</x:f>
        <x:v>17.080125883388032</x:v>
      </x:c>
      <x:c r="I126" s="52" t="n">
        <x:f>ABS(F61*1000*I61)/(E126*COS(RADIANS(Inputs!$B$13)))/1000000</x:f>
        <x:v>5.59198734862038</x:v>
      </x:c>
      <x:c r="J126" s="52" t="n">
        <x:f>ABS(H61*1000000*I61/COS(RADIANS(Inputs!$B$13)))/(2*(E61*COS(RADIANS(Inputs!$B$13)))*F126)/1000000</x:f>
        <x:v>0.5310579041471544</x:v>
      </x:c>
      <x:c r="K126" s="52" t="n">
        <x:f>SQRT(MAX(ABS(G126),ABS(H126))^2+3*(I126+J126)^2)</x:f>
        <x:v>20.104868805707213</x:v>
      </x:c>
      <x:c r="L126" s="47" t="n">
        <x:f>Inputs!$B$43/1000000/K126</x:f>
        <x:v>20.890462109395795</x:v>
      </x:c>
      <x:c r="M126" s="45" t="n">
        <x:v>0.004414901828729325</x:v>
      </x:c>
      <x:c r="N126" s="46" t="n">
        <x:v>0.2145309578</x:v>
      </x:c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 ht="15" hidden="0" customHeight="1">
      <x:c r="A127" s="44" t="n">
        <x:v>0.9645862068965518</x:v>
      </x:c>
      <x:c r="B127" s="44" t="n">
        <x:v>28.340038410278524</x:v>
      </x:c>
      <x:c r="C127" s="45" t="n">
        <x:v>0.13093879871596315</x:v>
      </x:c>
      <x:c r="D127" s="45" t="n">
        <x:v>0.15012260964600177</x:v>
      </x:c>
      <x:c r="E127" s="45" t="n">
        <x:v>0.002591997744643079</x:v>
      </x:c>
      <x:c r="F127" s="45" t="n">
        <x:v>0.003740529102</x:v>
      </x:c>
      <x:c r="G127" s="52" t="n">
        <x:f>((N127*1000*I62/(C62*COS(RADIANS(Inputs!$B$13))))-((G62*1000000*I62/COS(RADIANS(Inputs!$B$13)))*C127/(D62*COS(RADIANS(Inputs!$B$13))*Inputs!$B$47)))/1000000</x:f>
        <x:v>-7.060352330068579</x:v>
      </x:c>
      <x:c r="H127" s="52" t="n">
        <x:f>((N127*1000*I62/(C62*COS(RADIANS(Inputs!$B$13))))+((G62*1000000*I62/COS(RADIANS(Inputs!$B$13)))*D127/(D62*COS(RADIANS(Inputs!$B$13))*Inputs!$B$47)))/1000000</x:f>
        <x:v>8.315066483775313</x:v>
      </x:c>
      <x:c r="I127" s="52" t="n">
        <x:f>ABS(F62*1000*I62)/(E127*COS(RADIANS(Inputs!$B$13)))/1000000</x:f>
        <x:v>4.766825089067166</x:v>
      </x:c>
      <x:c r="J127" s="52" t="n">
        <x:f>ABS(H62*1000000*I62/COS(RADIANS(Inputs!$B$13)))/(2*(E62*COS(RADIANS(Inputs!$B$13)))*F127)/1000000</x:f>
        <x:v>0.13308374051879657</x:v>
      </x:c>
      <x:c r="K127" s="52" t="n">
        <x:f>SQRT(MAX(ABS(G127),ABS(H127))^2+3*(I127+J127)^2)</x:f>
        <x:v>11.881399338645554</x:v>
      </x:c>
      <x:c r="L127" s="47" t="n">
        <x:f>Inputs!$B$43/1000000/K127</x:f>
        <x:v>35.34937157056105</x:v>
      </x:c>
      <x:c r="M127" s="45" t="n">
        <x:v>0.004355949755284129</x:v>
      </x:c>
      <x:c r="N127" s="46" t="n">
        <x:v>0.8535767811</x:v>
      </x:c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 ht="15" hidden="0" customHeight="1">
      <x:c r="A128" s="44" t="n">
        <x:v>0.981793103448276</x:v>
      </x:c>
      <x:c r="B128" s="44" t="n">
        <x:v>28.845585872714764</x:v>
      </x:c>
      <x:c r="C128" s="45" t="n">
        <x:v>0.12557005769057117</x:v>
      </x:c>
      <x:c r="D128" s="45" t="n">
        <x:v>0.1443847478226461</x:v>
      </x:c>
      <x:c r="E128" s="45" t="n">
        <x:v>0.0024900733636377174</x:v>
      </x:c>
      <x:c r="F128" s="45" t="n">
        <x:v>0.003729598769</x:v>
      </x:c>
      <x:c r="G128" s="52" t="n">
        <x:f>((N128*1000*I63/(C63*COS(RADIANS(Inputs!$B$13))))-((G63*1000000*I63/COS(RADIANS(Inputs!$B$13)))*C128/(D63*COS(RADIANS(Inputs!$B$13))*Inputs!$B$47)))/1000000</x:f>
        <x:v>-1.9990051490638938</x:v>
      </x:c>
      <x:c r="H128" s="52" t="n">
        <x:f>((N128*1000*I63/(C63*COS(RADIANS(Inputs!$B$13))))+((G63*1000000*I63/COS(RADIANS(Inputs!$B$13)))*D128/(D63*COS(RADIANS(Inputs!$B$13))*Inputs!$B$47)))/1000000</x:f>
        <x:v>2.676853628315922</x:v>
      </x:c>
      <x:c r="I128" s="52" t="n">
        <x:f>ABS(F63*1000*I63)/(E128*COS(RADIANS(Inputs!$B$13)))/1000000</x:f>
        <x:v>1.8965844691971212</x:v>
      </x:c>
      <x:c r="J128" s="52" t="n">
        <x:f>ABS(H63*1000000*I63/COS(RADIANS(Inputs!$B$13)))/(2*(E63*COS(RADIANS(Inputs!$B$13)))*F128)/1000000</x:f>
        <x:v>0.5299842963089332</x:v>
      </x:c>
      <x:c r="K128" s="52" t="n">
        <x:f>SQRT(MAX(ABS(G128),ABS(H128))^2+3*(I128+J128)^2)</x:f>
        <x:v>4.9829964146702785</x:v>
      </x:c>
      <x:c r="L128" s="47" t="n">
        <x:f>Inputs!$B$43/1000000/K128</x:f>
        <x:v>84.28663499806895</x:v>
      </x:c>
      <x:c r="M128" s="45" t="n">
        <x:v>0.004343213734599376</x:v>
      </x:c>
      <x:c r="N128" s="46" t="n">
        <x:v>1.333199791</x:v>
      </x:c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 ht="15" hidden="0" customHeight="1">
      <x:c r="A129" s="44" t="n">
        <x:v>0.999</x:v>
      </x:c>
      <x:c r="B129" s="44" t="n">
        <x:v>29.351133335151005</x:v>
      </x:c>
      <x:c r="C129" s="45" t="n">
        <x:v>0.11974650034783263</x:v>
      </x:c>
      <x:c r="D129" s="45" t="n">
        <x:v>0.13805853289015513</x:v>
      </x:c>
      <x:c r="E129" s="45" t="n">
        <x:v>0.00238030895702702</x:v>
      </x:c>
      <x:c r="F129" s="45" t="n">
        <x:v>0.003729598769</x:v>
      </x:c>
      <x:c r="G129" s="52" t="n">
        <x:f>((N129*1000*I64/(C64*COS(RADIANS(Inputs!$B$13))))-((G64*1000000*I64/COS(RADIANS(Inputs!$B$13)))*C129/(D64*COS(RADIANS(Inputs!$B$13))*Inputs!$B$47)))/1000000</x:f>
        <x:v>0.043363956524167954</x:v>
      </x:c>
      <x:c r="H129" s="52" t="n">
        <x:f>((N129*1000*I64/(C64*COS(RADIANS(Inputs!$B$13))))+((G64*1000000*I64/COS(RADIANS(Inputs!$B$13)))*D129/(D64*COS(RADIANS(Inputs!$B$13))*Inputs!$B$47)))/1000000</x:f>
        <x:v>0.2119913522993619</x:v>
      </x:c>
      <x:c r="I129" s="52" t="n">
        <x:f>ABS(F64*1000*I64)/(E129*COS(RADIANS(Inputs!$B$13)))/1000000</x:f>
        <x:v>0.6310543269634331</x:v>
      </x:c>
      <x:c r="J129" s="52" t="n">
        <x:f>ABS(H64*1000000*I64/COS(RADIANS(Inputs!$B$13)))/(2*(E64*COS(RADIANS(Inputs!$B$13)))*F129)/1000000</x:f>
        <x:v>0.4268613320051788</x:v>
      </x:c>
      <x:c r="K129" s="52" t="n">
        <x:f>SQRT(MAX(ABS(G129),ABS(H129))^2+3*(I129+J129)^2)</x:f>
        <x:v>1.8445858499735621</x:v>
      </x:c>
      <x:c r="L129" s="47" t="n">
        <x:f>Inputs!$B$43/1000000/K129</x:f>
        <x:v>227.69338711235355</x:v>
      </x:c>
      <x:c r="M129" s="45" t="n">
        <x:v>0.004343089195985976</x:v>
      </x:c>
      <x:c r="N129" s="46" t="n">
        <x:v>0.8331489599999999</x:v>
      </x:c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 ht="15" hidden="0" customHeight="1">
      <x:c r="A130" s="44" t="n">
        <x:v>1</x:v>
      </x:c>
      <x:c r="B130" s="44" t="n">
        <x:v>29.380513849000003</x:v>
      </x:c>
      <x:c r="C130" s="45" t="n">
        <x:v>0.11974650034783263</x:v>
      </x:c>
      <x:c r="D130" s="45" t="n">
        <x:v>0.13805853289015513</x:v>
      </x:c>
      <x:c r="E130" s="45" t="n">
        <x:v>0.00238030895702702</x:v>
      </x:c>
      <x:c r="F130" s="45" t="n">
        <x:v>0.003729598769</x:v>
      </x:c>
      <x:c r="G130" s="52" t="n">
        <x:f>((N130*1000*I65/(C65*COS(RADIANS(Inputs!$B$13))))-((G65*1000000*I65/COS(RADIANS(Inputs!$B$13)))*C130/(D65*COS(RADIANS(Inputs!$B$13))*Inputs!$B$47)))/1000000</x:f>
        <x:v>0.002956856920465899</x:v>
      </x:c>
      <x:c r="H130" s="52" t="n">
        <x:f>((N130*1000*I65/(C65*COS(RADIANS(Inputs!$B$13))))+((G65*1000000*I65/COS(RADIANS(Inputs!$B$13)))*D130/(D65*COS(RADIANS(Inputs!$B$13))*Inputs!$B$47)))/1000000</x:f>
        <x:v>0.002956856920465899</x:v>
      </x:c>
      <x:c r="I130" s="52" t="n">
        <x:f>ABS(F65*1000*I65)/(E130*COS(RADIANS(Inputs!$B$13)))/1000000</x:f>
        <x:v>0.03257770103004264</x:v>
      </x:c>
      <x:c r="J130" s="52" t="n">
        <x:f>ABS(H65*1000000*I65/COS(RADIANS(Inputs!$B$13)))/(2*(E65*COS(RADIANS(Inputs!$B$13)))*F130)/1000000</x:f>
        <x:v>0.014805711547087756</x:v>
      </x:c>
      <x:c r="K130" s="52" t="n">
        <x:f>SQRT(MAX(ABS(G130),ABS(H130))^2+3*(I130+J130)^2)</x:f>
        <x:v>0.08212372595792147</x:v>
      </x:c>
      <x:c r="L130" s="47" t="n">
        <x:f>Inputs!$B$43/1000000/K130</x:f>
        <x:v>5114.234590563992</x:v>
      </x:c>
      <x:c r="M130" s="45" t="n">
        <x:v>0.004343089195985976</x:v>
      </x:c>
      <x:c r="N130" s="46" t="n">
        <x:v>0.02024428</x:v>
      </x:c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 ht="15" hidden="0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 ht="15" hidden="0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 ht="15" hidden="0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 ht="15" hidden="0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 ht="15" hidden="0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 ht="15" hidden="0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 ht="15" hidden="0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 ht="15" hidden="0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 ht="15" hidden="0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 ht="15" hidden="0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 ht="15" hidden="0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 ht="15" hidden="0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 ht="15" hidden="0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 ht="15" hidden="0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 ht="15" hidden="0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 ht="15" hidden="0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 ht="15" hidden="0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 ht="15" hidden="0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 ht="15" hidden="0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 ht="15" hidden="0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 ht="15" hidden="0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 ht="15" hidden="0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 ht="15" hidden="0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 ht="15" hidden="0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 ht="15" hidden="0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 ht="15" hidden="0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 ht="15" hidden="0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 ht="15" hidden="0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 ht="15" hidden="0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 ht="15" hidden="0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 ht="15" hidden="0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 ht="15" hidden="0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 ht="15" hidden="0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 ht="15" hidden="0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 ht="15" hidden="0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 ht="15" hidden="0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 ht="15" hidden="0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 ht="15" hidden="0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 ht="15" hidden="0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 ht="15" hidden="0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 ht="15" hidden="0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 ht="15" hidden="0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 ht="15" hidden="0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 ht="15" hidden="0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 ht="15" hidden="0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 ht="15" hidden="0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 ht="15" hidden="0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 ht="15" hidden="0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 ht="15" hidden="0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 ht="15" hidden="0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 ht="15" hidden="0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 ht="15" hidden="0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 ht="15" hidden="0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 ht="15" hidden="0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 ht="15" hidden="0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 ht="15" hidden="0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 ht="15" hidden="0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 ht="15" hidden="0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 ht="15" hidden="0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 ht="15" hidden="0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 ht="15" hidden="0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 ht="15" hidden="0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 ht="15" hidden="0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 ht="15" hidden="0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 ht="15" hidden="0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 ht="15" hidden="0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 ht="15" hidden="0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 ht="15" hidden="0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 ht="15" hidden="0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 ht="15" hidden="0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 ht="15" hidden="0" customHeight="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 ht="15" hidden="0" customHeight="1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 ht="15" hidden="0" customHeight="1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 ht="15" hidden="0" customHeight="1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 ht="15" hidden="0" customHeight="1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 ht="15" hidden="0" customHeight="1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 ht="15" hidden="0" customHeight="1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 ht="15" hidden="0" customHeight="1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 ht="15" hidden="0" customHeight="1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 ht="15" hidden="0" customHeight="1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 ht="15" hidden="0" customHeight="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 ht="15" hidden="0" customHeight="1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 ht="15" hidden="0" customHeight="1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 ht="15" hidden="0" customHeight="1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 ht="15" hidden="0" customHeight="1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 ht="15" hidden="0" customHeight="1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 ht="15" hidden="0" customHeight="1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 ht="15" hidden="0" customHeight="1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 ht="15" hidden="0" customHeight="1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 ht="15" hidden="0" customHeight="1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4" hidden="0" customWidth="1"/>
    <x:col min="4" max="4" width="40" hidden="0" customWidth="1"/>
    <x:col min="5" max="5" width="34" hidden="0" customWidth="1"/>
  </x:cols>
  <x:sheetData>
    <x:row r="1" ht="32" hidden="0" customHeight="1">
      <x:c r="A1" s="73" t="str">
        <x:v>Local plate-buckling screen</x:v>
      </x:c>
      <x:c r="B1" s="73"/>
      <x:c r="C1" s="73"/>
      <x:c r="D1" s="73"/>
      <x:c r="E1" s="73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2" hidden="0" customHeight="1">
      <x:c r="A2" s="7" t="str">
        <x:v>Classical simply supported plate equations. The panel width, length and coefficients remain editable assumptions.</x:v>
      </x:c>
      <x:c r="B2" s="7"/>
      <x:c r="C2" s="7"/>
      <x:c r="D2" s="7"/>
      <x:c r="E2" s="7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 ht="15" hidden="0" customHeight="1">
      <x:c r="A4" s="12" t="str">
        <x:v>Quantity</x:v>
      </x:c>
      <x:c r="B4" s="12" t="str">
        <x:v>Value</x:v>
      </x:c>
      <x:c r="C4" s="12" t="str">
        <x:v>Unit</x:v>
      </x:c>
      <x:c r="D4" s="12" t="str">
        <x:v>Equation / basis</x:v>
      </x:c>
      <x:c r="E4" s="12" t="str">
        <x:v>Interpretation</x:v>
      </x:c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15" hidden="0" customHeight="1">
      <x:c r="A5" s="17" t="str">
        <x:v>Critical beam station</x:v>
      </x:c>
      <x:c r="B5" s="54" t="n">
        <x:f>INDEX('Beam Calc'!$A$70:$A$130,MATCH(MAX('Beam Calc'!$K$70:$K$130),'Beam Calc'!$K$70:$K$130,0))</x:f>
        <x:v>0.3107241379310344</x:v>
      </x:c>
      <x:c r="C5" s="17" t="str">
        <x:v>η</x:v>
      </x:c>
      <x:c r="D5" s="17" t="str">
        <x:v>Station of maximum nominal VM</x:v>
      </x:c>
      <x:c r="E5" s="17" t="str">
        <x:v>Linked from beam model</x:v>
      </x:c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15" hidden="0" customHeight="1">
      <x:c r="A6" s="17" t="str">
        <x:v>Critical span location</x:v>
      </x:c>
      <x:c r="B6" s="54" t="n">
        <x:f>INDEX('Beam Calc'!$B$70:$B$130,MATCH(MAX('Beam Calc'!$K$70:$K$130),'Beam Calc'!$K$70:$K$130,0))</x:f>
        <x:v>9.129234837701345</x:v>
      </x:c>
      <x:c r="C6" s="17" t="str">
        <x:v>m</x:v>
      </x:c>
      <x:c r="D6" s="17" t="str">
        <x:v>Station of maximum nominal VM</x:v>
      </x:c>
      <x:c r="E6" s="17" t="str">
        <x:v>Linked from beam model</x:v>
      </x:c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15" hidden="0" customHeight="1">
      <x:c r="A7" s="17" t="str">
        <x:v>Applied compressive stress</x:v>
      </x:c>
      <x:c r="B7" s="52" t="n">
        <x:f>MAX(ABS(INDEX('Beam Calc'!$G$70:$G$130,MATCH(MAX('Beam Calc'!$K$70:$K$130),'Beam Calc'!$K$70:$K$130,0))),ABS(INDEX('Beam Calc'!$H$70:$H$130,MATCH(MAX('Beam Calc'!$K$70:$K$130),'Beam Calc'!$K$70:$K$130,0))))</x:f>
        <x:v>138.72518364552766</x:v>
      </x:c>
      <x:c r="C7" s="17" t="str">
        <x:v>MPa</x:v>
      </x:c>
      <x:c r="D7" s="17" t="str">
        <x:v>max(|σtop|, |σbottom|)</x:v>
      </x:c>
      <x:c r="E7" s="17" t="str">
        <x:v>Nominal membrane stress</x:v>
      </x:c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15" hidden="0" customHeight="1">
      <x:c r="A8" s="17" t="str">
        <x:v>Applied combined shear</x:v>
      </x:c>
      <x:c r="B8" s="52" t="n">
        <x:f>INDEX('Beam Calc'!$I$70:$I$130,MATCH(MAX('Beam Calc'!$K$70:$K$130),'Beam Calc'!$K$70:$K$130,0))+INDEX('Beam Calc'!$J$70:$J$130,MATCH(MAX('Beam Calc'!$K$70:$K$130),'Beam Calc'!$K$70:$K$130,0))</x:f>
        <x:v>61.070646634730316</x:v>
      </x:c>
      <x:c r="C8" s="17" t="str">
        <x:v>MPa</x:v>
      </x:c>
      <x:c r="D8" s="17" t="str">
        <x:v>τshear + τtorsion</x:v>
      </x:c>
      <x:c r="E8" s="17" t="str">
        <x:v>Average thin-wall screen</x:v>
      </x:c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15" hidden="0" customHeight="1">
      <x:c r="A9" s="17" t="str">
        <x:v>Local skin thickness</x:v>
      </x:c>
      <x:c r="B9" s="49" t="n">
        <x:f>INDEX('Beam Calc'!$M$70:$M$130,MATCH(MAX('Beam Calc'!$K$70:$K$130),'Beam Calc'!$K$70:$K$130,0))</x:f>
        <x:v>0.01844128025339479</x:v>
      </x:c>
      <x:c r="C9" s="17" t="str">
        <x:v>m</x:v>
      </x:c>
      <x:c r="D9" s="17" t="str">
        <x:v>Average skin thickness at critical station</x:v>
      </x:c>
      <x:c r="E9" s="17" t="str">
        <x:v>Smeared section value</x:v>
      </x:c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15" hidden="0" customHeight="1">
      <x:c r="A10" s="17" t="str">
        <x:v>Panel width</x:v>
      </x:c>
      <x:c r="B10" s="49" t="n">
        <x:f>Inputs!$B$71</x:f>
        <x:v>0.5</x:v>
      </x:c>
      <x:c r="C10" s="17" t="str">
        <x:v>m</x:v>
      </x:c>
      <x:c r="D10" s="17" t="str">
        <x:v>Inputs</x:v>
      </x:c>
      <x:c r="E10" s="17" t="str">
        <x:v>Editable</x:v>
      </x:c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15" hidden="0" customHeight="1">
      <x:c r="A11" s="17" t="str">
        <x:v>Panel length</x:v>
      </x:c>
      <x:c r="B11" s="49" t="n">
        <x:f>Inputs!$B$72</x:f>
        <x:v>0.8</x:v>
      </x:c>
      <x:c r="C11" s="17" t="str">
        <x:v>m</x:v>
      </x:c>
      <x:c r="D11" s="17" t="str">
        <x:v>Inputs</x:v>
      </x:c>
      <x:c r="E11" s="17" t="str">
        <x:v>Editable</x:v>
      </x:c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15" hidden="0" customHeight="1">
      <x:c r="A12" s="17" t="str">
        <x:v>Compression coefficient k</x:v>
      </x:c>
      <x:c r="B12" s="47" t="n">
        <x:f>Inputs!$B$73</x:f>
        <x:v>4</x:v>
      </x:c>
      <x:c r="C12" s="17" t="str">
        <x:v>—</x:v>
      </x:c>
      <x:c r="D12" s="17" t="str">
        <x:v>Inputs</x:v>
      </x:c>
      <x:c r="E12" s="17" t="str">
        <x:v>Boundary-condition dependent</x:v>
      </x:c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15" hidden="0" customHeight="1">
      <x:c r="A13" s="17" t="str">
        <x:v>Shear coefficient kτ</x:v>
      </x:c>
      <x:c r="B13" s="47" t="n">
        <x:f>Inputs!$B$74</x:f>
        <x:v>5.34</x:v>
      </x:c>
      <x:c r="C13" s="17" t="str">
        <x:v>—</x:v>
      </x:c>
      <x:c r="D13" s="17" t="str">
        <x:v>Inputs</x:v>
      </x:c>
      <x:c r="E13" s="17" t="str">
        <x:v>Boundary-condition dependent</x:v>
      </x:c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15" hidden="0" customHeight="1">
      <x:c r="A14" s="17" t="str">
        <x:v>Elastic compression buckling stress</x:v>
      </x:c>
      <x:c r="B14" s="47" t="n">
        <x:f>B12*PI()^2*Inputs!$B$40/(12*(1-Inputs!$B$41^2))*(B9/B10)^2/1000000</x:f>
        <x:v>343.7632501840025</x:v>
      </x:c>
      <x:c r="C14" s="17" t="str">
        <x:v>MPa</x:v>
      </x:c>
      <x:c r="D14" s="17" t="str">
        <x:v>kπ²E/[12(1−ν²)](t/b)²</x:v>
      </x:c>
      <x:c r="E14" s="17" t="str">
        <x:v>Classical plate theory</x:v>
      </x:c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15" hidden="0" customHeight="1">
      <x:c r="A15" s="17" t="str">
        <x:v>Compression buckling FoS, 1g</x:v>
      </x:c>
      <x:c r="B15" s="47" t="n">
        <x:f>B14/B7</x:f>
        <x:v>2.4780161838703396</x:v>
      </x:c>
      <x:c r="C15" s="17" t="str">
        <x:v>—</x:v>
      </x:c>
      <x:c r="D15" s="17" t="str">
        <x:v>σcr/σapplied</x:v>
      </x:c>
      <x:c r="E15" s="17" t="str">
        <x:v>Screening value</x:v>
      </x:c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15" hidden="0" customHeight="1">
      <x:c r="A16" s="17" t="str">
        <x:v>Compression buckling FoS, 2.5g</x:v>
      </x:c>
      <x:c r="B16" s="47" t="n">
        <x:f>B14/(B7*Inputs!$B$46)</x:f>
        <x:v>0.9912064735481358</x:v>
      </x:c>
      <x:c r="C16" s="17" t="str">
        <x:v>—</x:v>
      </x:c>
      <x:c r="D16" s="17" t="str">
        <x:v>σcr/(2.5σapplied)</x:v>
      </x:c>
      <x:c r="E16" s="17" t="str">
        <x:v>Linear load scaling</x:v>
      </x:c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 ht="15" hidden="0" customHeight="1">
      <x:c r="A17" s="17" t="str">
        <x:v>Elastic shear buckling stress</x:v>
      </x:c>
      <x:c r="B17" s="47" t="n">
        <x:f>B13*PI()^2*Inputs!$B$40/(12*(1-Inputs!$B$41^2))*(B9/B10)^2/1000000</x:f>
        <x:v>458.9239389956433</x:v>
      </x:c>
      <x:c r="C17" s="17" t="str">
        <x:v>MPa</x:v>
      </x:c>
      <x:c r="D17" s="17" t="str">
        <x:v>kτπ²E/[12(1−ν²)](t/b)²</x:v>
      </x:c>
      <x:c r="E17" s="17" t="str">
        <x:v>Classical plate theory</x:v>
      </x:c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15" hidden="0" customHeight="1">
      <x:c r="A18" s="17" t="str">
        <x:v>Shear buckling FoS, 1g</x:v>
      </x:c>
      <x:c r="B18" s="47" t="n">
        <x:f>B17/B8</x:f>
        <x:v>7.514640245100295</x:v>
      </x:c>
      <x:c r="C18" s="17" t="str">
        <x:v>—</x:v>
      </x:c>
      <x:c r="D18" s="17" t="str">
        <x:v>τcr/τapplied</x:v>
      </x:c>
      <x:c r="E18" s="17" t="str">
        <x:v>Screening value</x:v>
      </x:c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 ht="15" hidden="0" customHeight="1">
      <x:c r="A19" s="17" t="str">
        <x:v>ANSYS first eigenvalue</x:v>
      </x:c>
      <x:c r="B19" s="53" t="n">
        <x:f>Inputs!$B$75</x:f>
        <x:v>0.45096</x:v>
      </x:c>
      <x:c r="C19" s="17" t="str">
        <x:v>—</x:v>
      </x:c>
      <x:c r="D19" s="17" t="str">
        <x:v>Completed ANSYS solve</x:v>
      </x:c>
      <x:c r="E19" s="17" t="str">
        <x:v>First positive eigenvalue</x:v>
      </x:c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 ht="15" hidden="0" customHeight="1">
      <x:c r="A20" s="17" t="str">
        <x:v>FEA buckling gate</x:v>
      </x:c>
      <x:c r="B20" s="17" t="str">
        <x:f>IF(Inputs!$B$75="","Missing ANSYS eigenvalue",IF(B19&gt;=Inputs!$B$76,"Pass","Investigate"))</x:f>
        <x:v>Investigate</x:v>
      </x:c>
      <x:c r="C20" s="17" t="str">
        <x:v>—</x:v>
      </x:c>
      <x:c r="D20" s="17" t="str">
        <x:v>λ1 ≥ minimum</x:v>
      </x:c>
      <x:c r="E20" s="17" t="str">
        <x:v>Completed result is below the λ = 1 screen</x:v>
      </x:c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 ht="15" hidden="0" customHeight="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 ht="15" hidden="0" customHeight="1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 ht="15" hidden="0" customHeight="1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 ht="15" hidden="0" customHeight="1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 ht="15" hidden="0" customHeight="1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 ht="15" hidden="0" customHeight="1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 ht="15" hidden="0" customHeight="1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 ht="15" hidden="0" customHeight="1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 ht="15" hidden="0" customHeight="1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 ht="15" hidden="0" customHeight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 ht="15" hidden="0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 ht="15" hidden="0" customHeight="1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 ht="15" hidden="0" customHeight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 ht="15" hidden="0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 ht="15" hidden="0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 ht="15" hidden="0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 ht="15" hidden="0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 ht="15" hidden="0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 ht="15" hidden="0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 ht="15" hidden="0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 ht="15" hidden="0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 ht="15" hidden="0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 ht="15" hidden="0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 ht="15" hidden="0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 ht="15" hidden="0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 ht="15" hidden="0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 ht="15" hidden="0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 ht="15" hidden="0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 ht="15" hidden="0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 ht="15" hidden="0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 ht="15" hidden="0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 ht="15" hidden="0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 ht="15" hidden="0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 ht="15" hidden="0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 ht="15" hidden="0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 ht="15" hidden="0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 ht="15" hidden="0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 ht="15" hidden="0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 ht="15" hidden="0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 ht="15" hidden="0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 ht="15" hidden="0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 ht="15" hidden="0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 ht="15" hidden="0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 ht="15" hidden="0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 ht="15" hidden="0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 ht="15" hidden="0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 ht="15" hidden="0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 ht="15" hidden="0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 ht="15" hidden="0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 ht="15" hidden="0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 ht="15" hidden="0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 ht="15" hidden="0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 ht="15" hidden="0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 ht="15" hidden="0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 ht="15" hidden="0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 ht="15" hidden="0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 ht="15" hidden="0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 ht="15" hidden="0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 ht="15" hidden="0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 ht="15" hidden="0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 ht="15" hidden="0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 ht="15" hidden="0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 ht="15" hidden="0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 ht="15" hidden="0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 ht="15" hidden="0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 ht="15" hidden="0" customHeight="1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 ht="15" hidden="0" customHeight="1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 ht="15" hidden="0" customHeight="1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 ht="15" hidden="0" customHeight="1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 ht="15" hidden="0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 ht="15" hidden="0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 ht="15" hidden="0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 ht="15" hidden="0" customHeight="1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 ht="15" hidden="0" customHeight="1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 ht="15" hidden="0" customHeight="1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 ht="15" hidden="0" customHeight="1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 ht="15" hidden="0" customHeight="1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 ht="15" hidden="0" customHeight="1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 ht="15" hidden="0" customHeight="1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 ht="15" hidden="0" customHeight="1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 ht="15" hidden="0" customHeight="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 ht="15" hidden="0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 ht="15" hidden="0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 ht="15" hidden="0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 ht="15" hidden="0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 ht="15" hidden="0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 ht="15" hidden="0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 ht="15" hidden="0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 ht="15" hidden="0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 ht="15" hidden="0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 ht="15" hidden="0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 ht="15" hidden="0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 ht="15" hidden="0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 ht="15" hidden="0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 ht="15" hidden="0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 ht="15" hidden="0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 ht="15" hidden="0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 ht="15" hidden="0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 ht="15" hidden="0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 ht="15" hidden="0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 ht="15" hidden="0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 ht="15" hidden="0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 ht="15" hidden="0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 ht="15" hidden="0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 ht="15" hidden="0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 ht="15" hidden="0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 ht="15" hidden="0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 ht="15" hidden="0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 ht="15" hidden="0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 ht="15" hidden="0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 ht="15" hidden="0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 ht="15" hidden="0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 ht="15" hidden="0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 ht="15" hidden="0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 ht="15" hidden="0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 ht="15" hidden="0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 ht="15" hidden="0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 ht="15" hidden="0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 ht="15" hidden="0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 ht="15" hidden="0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 ht="15" hidden="0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 ht="15" hidden="0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 ht="15" hidden="0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 ht="15" hidden="0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 ht="15" hidden="0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 ht="15" hidden="0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 ht="15" hidden="0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 ht="15" hidden="0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 ht="15" hidden="0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 ht="15" hidden="0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 ht="15" hidden="0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 ht="15" hidden="0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 ht="15" hidden="0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 ht="15" hidden="0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 ht="15" hidden="0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 ht="15" hidden="0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 ht="15" hidden="0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 ht="15" hidden="0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 ht="15" hidden="0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 ht="15" hidden="0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 ht="15" hidden="0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 ht="15" hidden="0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 ht="15" hidden="0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 ht="15" hidden="0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 ht="15" hidden="0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 ht="15" hidden="0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 ht="15" hidden="0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 ht="15" hidden="0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 ht="15" hidden="0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 ht="15" hidden="0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 ht="15" hidden="0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 ht="15" hidden="0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 ht="15" hidden="0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 ht="15" hidden="0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 ht="15" hidden="0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 ht="15" hidden="0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 ht="15" hidden="0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 ht="15" hidden="0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 ht="15" hidden="0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 ht="15" hidden="0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 ht="15" hidden="0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 ht="15" hidden="0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 ht="15" hidden="0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 ht="15" hidden="0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 ht="15" hidden="0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 ht="15" hidden="0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 ht="15" hidden="0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 ht="15" hidden="0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 ht="15" hidden="0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 ht="15" hidden="0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 ht="15" hidden="0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 ht="15" hidden="0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 ht="15" hidden="0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 ht="15" hidden="0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 ht="15" hidden="0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 ht="15" hidden="0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 ht="15" hidden="0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 ht="15" hidden="0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 ht="15" hidden="0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 ht="15" hidden="0" customHeight="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 ht="15" hidden="0" customHeight="1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 ht="15" hidden="0" customHeight="1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 ht="15" hidden="0" customHeight="1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 ht="15" hidden="0" customHeight="1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 ht="15" hidden="0" customHeight="1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 ht="15" hidden="0" customHeight="1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 ht="15" hidden="0" customHeight="1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 ht="15" hidden="0" customHeight="1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 ht="15" hidden="0" customHeight="1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 ht="15" hidden="0" customHeight="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 ht="15" hidden="0" customHeight="1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 ht="15" hidden="0" customHeight="1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 ht="15" hidden="0" customHeight="1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 ht="15" hidden="0" customHeight="1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 ht="15" hidden="0" customHeight="1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 ht="15" hidden="0" customHeight="1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 ht="15" hidden="0" customHeight="1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 ht="15" hidden="0" customHeight="1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 ht="15" hidden="0" customHeight="1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</x:sheetData>
  <x:mergeCells>
    <x:mergeCell ref="A1:E1"/>
    <x:mergeCell ref="A2:E2"/>
  </x:mergeCells>
  <x:conditionalFormatting sqref="B20:B20">
    <x:cfRule type="containsText" dxfId="7" priority="1" operator="containsText" text="Pass"/>
    <x:cfRule type="containsText" dxfId="8" priority="2" operator="containsText" text="Within"/>
    <x:cfRule type="containsText" dxfId="9" priority="3" operator="containsText" text="Investigate"/>
    <x:cfRule type="containsText" dxfId="10" priority="4" operator="containsText" text="Outside"/>
    <x:cfRule type="containsText" dxfId="11" priority="5" operator="containsText" text="Missing"/>
    <x:cfRule type="containsText" dxfId="12" priority="6" operator="containsText" text="Run ANSYS"/>
    <x:cfRule type="containsText" dxfId="13" priority="7" operator="containsText" text="Screening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8" hidden="0" customWidth="1"/>
    <x:col min="4" max="4" width="38" hidden="0" customWidth="1"/>
    <x:col min="5" max="5" width="24" hidden="0" customWidth="1"/>
    <x:col min="6" max="6" width="42" hidden="0" customWidth="1"/>
  </x:cols>
  <x:sheetData>
    <x:row r="1" ht="32" hidden="0" customHeight="1">
      <x:c r="A1" s="73" t="str">
        <x:v>Fatigue and damage-tolerance screen</x:v>
      </x:c>
      <x:c r="B1" s="73"/>
      <x:c r="C1" s="73"/>
      <x:c r="D1" s="73"/>
      <x:c r="E1" s="73"/>
      <x:c r="F1" s="73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2" hidden="0" customHeight="1">
      <x:c r="A2" s="7" t="str">
        <x:v>The equations are complete; the material curve, mission spectrum and crack geometry remain screening assumptions until selected and sourced.</x:v>
      </x:c>
      <x:c r="B2" s="7"/>
      <x:c r="C2" s="7"/>
      <x:c r="D2" s="7"/>
      <x:c r="E2" s="7"/>
      <x:c r="F2" s="7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 ht="15" hidden="0" customHeight="1">
      <x:c r="A4" s="12" t="str">
        <x:v>Quantity</x:v>
      </x:c>
      <x:c r="B4" s="12" t="str">
        <x:v>Value</x:v>
      </x:c>
      <x:c r="C4" s="12" t="str">
        <x:v>Unit</x:v>
      </x:c>
      <x:c r="D4" s="12" t="str">
        <x:v>Equation / basis</x:v>
      </x:c>
      <x:c r="E4" s="12" t="str">
        <x:v>Status</x:v>
      </x:c>
      <x:c r="F4" s="12" t="str">
        <x:v>Required next evidence</x:v>
      </x:c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15" hidden="0" customHeight="1">
      <x:c r="A5" s="17" t="str">
        <x:v>Maximum cycle stress</x:v>
      </x:c>
      <x:c r="B5" s="52" t="n">
        <x:f>Inputs!$B$83</x:f>
        <x:v>120</x:v>
      </x:c>
      <x:c r="C5" s="17" t="str">
        <x:v>MPa</x:v>
      </x:c>
      <x:c r="D5" s="17" t="str">
        <x:v>Input</x:v>
      </x:c>
      <x:c r="E5" s="17" t="str"/>
      <x:c r="F5" s="17" t="str">
        <x:v>Replace with local non-singular stress for a defined event</x:v>
      </x:c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15" hidden="0" customHeight="1">
      <x:c r="A6" s="17" t="str">
        <x:v>Minimum cycle stress</x:v>
      </x:c>
      <x:c r="B6" s="52" t="n">
        <x:f>Inputs!$B$84</x:f>
        <x:v>12</x:v>
      </x:c>
      <x:c r="C6" s="17" t="str">
        <x:v>MPa</x:v>
      </x:c>
      <x:c r="D6" s="17" t="str">
        <x:v>Input</x:v>
      </x:c>
      <x:c r="E6" s="17" t="str"/>
      <x:c r="F6" s="17" t="str">
        <x:v>Define the actual stress ratio or spectrum</x:v>
      </x:c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15" hidden="0" customHeight="1">
      <x:c r="A7" s="17" t="str">
        <x:v>Stress range Δσ</x:v>
      </x:c>
      <x:c r="B7" s="52" t="n">
        <x:f>B5-B6</x:f>
        <x:v>108</x:v>
      </x:c>
      <x:c r="C7" s="17" t="str">
        <x:v>MPa</x:v>
      </x:c>
      <x:c r="D7" s="17" t="str">
        <x:v>σmax − σmin</x:v>
      </x:c>
      <x:c r="E7" s="17" t="str"/>
      <x:c r="F7" s="17" t="str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15" hidden="0" customHeight="1">
      <x:c r="A8" s="17" t="str">
        <x:v>Alternating stress σa</x:v>
      </x:c>
      <x:c r="B8" s="52" t="n">
        <x:f>B7/2</x:f>
        <x:v>54</x:v>
      </x:c>
      <x:c r="C8" s="17" t="str">
        <x:v>MPa</x:v>
      </x:c>
      <x:c r="D8" s="17" t="str">
        <x:v>Δσ/2</x:v>
      </x:c>
      <x:c r="E8" s="17" t="str"/>
      <x:c r="F8" s="17" t="str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15" hidden="0" customHeight="1">
      <x:c r="A9" s="17" t="str">
        <x:v>Mean stress σm</x:v>
      </x:c>
      <x:c r="B9" s="52" t="n">
        <x:f>(B5+B6)/2</x:f>
        <x:v>66</x:v>
      </x:c>
      <x:c r="C9" s="17" t="str">
        <x:v>MPa</x:v>
      </x:c>
      <x:c r="D9" s="17" t="str">
        <x:v>(σmax + σmin)/2</x:v>
      </x:c>
      <x:c r="E9" s="17" t="str"/>
      <x:c r="F9" s="17" t="str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15" hidden="0" customHeight="1">
      <x:c r="A10" s="17" t="str">
        <x:v>Goodman-corrected amplitude</x:v>
      </x:c>
      <x:c r="B10" s="52" t="n">
        <x:f>B8/(1-B9/Inputs!$B$80)</x:f>
        <x:v>62.21198156682028</x:v>
      </x:c>
      <x:c r="C10" s="17" t="str">
        <x:v>MPa</x:v>
      </x:c>
      <x:c r="D10" s="17" t="str">
        <x:v>σa/(1−σm/Su)</x:v>
      </x:c>
      <x:c r="E10" s="17" t="str"/>
      <x:c r="F10" s="17" t="str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15" hidden="0" customHeight="1">
      <x:c r="A11" s="17" t="str">
        <x:v>Basquin cycles to failure</x:v>
      </x:c>
      <x:c r="B11" s="55" t="n">
        <x:f>0.5*(B10/Inputs!$B$81)^(1/Inputs!$B$82)</x:f>
        <x:v>5696287357.20104</x:v>
      </x:c>
      <x:c r="C11" s="17" t="str">
        <x:v>cycles</x:v>
      </x:c>
      <x:c r="D11" s="17" t="str">
        <x:v>N = ½(σa,corr/σf')^(1/b)</x:v>
      </x:c>
      <x:c r="E11" s="17" t="str"/>
      <x:c r="F11" s="17" t="str">
        <x:v>Screening fit only</x:v>
      </x:c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15" hidden="0" customHeight="1">
      <x:c r="A12" s="17" t="str">
        <x:v>Design cycles</x:v>
      </x:c>
      <x:c r="B12" s="55" t="n">
        <x:f>Inputs!$B$85*Inputs!$B$86</x:f>
        <x:v>60000</x:v>
      </x:c>
      <x:c r="C12" s="17" t="str">
        <x:v>cycles</x:v>
      </x:c>
      <x:c r="D12" s="17" t="str">
        <x:v>flights × cycles/flight</x:v>
      </x:c>
      <x:c r="E12" s="17" t="str"/>
      <x:c r="F12" s="17" t="str">
        <x:v>Replace with mission blocks</x:v>
      </x:c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15" hidden="0" customHeight="1">
      <x:c r="A13" s="17" t="str">
        <x:v>Miner damage</x:v>
      </x:c>
      <x:c r="B13" s="54" t="n">
        <x:f>B12/B11</x:f>
        <x:v>0.000010533176477508666</x:v>
      </x:c>
      <x:c r="C13" s="17" t="str">
        <x:v>—</x:v>
      </x:c>
      <x:c r="D13" s="17" t="str">
        <x:v>design cycles / Nf</x:v>
      </x:c>
      <x:c r="E13" s="17" t="str"/>
      <x:c r="F13" s="17" t="str">
        <x:v>Single-bin screening</x:v>
      </x:c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15" hidden="0" customHeight="1">
      <x:c r="A14" s="17" t="str">
        <x:v>S-N screen</x:v>
      </x:c>
      <x:c r="B14" s="17" t="str">
        <x:f>IF(B13&lt;1,"Pass screen","Investigate")</x:f>
        <x:v>Pass screen</x:v>
      </x:c>
      <x:c r="C14" s="17" t="str">
        <x:v>—</x:v>
      </x:c>
      <x:c r="D14" s="17" t="str">
        <x:v>Damage &lt; 1</x:v>
      </x:c>
      <x:c r="E14" s="17" t="str"/>
      <x:c r="F14" s="17" t="str">
        <x:v>Use a multi-bin spectrum for the final study</x:v>
      </x:c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15" hidden="0" customHeight="1">
      <x:c r="A15" s="17" t="str"/>
      <x:c r="B15" s="17"/>
      <x:c r="C15" s="17"/>
      <x:c r="D15" s="17"/>
      <x:c r="E15" s="17"/>
      <x:c r="F15" s="17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15" hidden="0" customHeight="1">
      <x:c r="A16" s="17" t="str">
        <x:v>Critical crack size</x:v>
      </x:c>
      <x:c r="B16" s="48" t="n">
        <x:f>(Inputs!$B$89/(Inputs!$B$87*B5))^2/PI()</x:f>
        <x:v>0.011013658525593753</x:v>
      </x:c>
      <x:c r="C16" s="17" t="str">
        <x:v>m</x:v>
      </x:c>
      <x:c r="D16" s="17" t="str">
        <x:v>ac = [KIC/(Yσmax)]²/π</x:v>
      </x:c>
      <x:c r="E16" s="17" t="str"/>
      <x:c r="F16" s="17" t="str">
        <x:v>Residual-strength screen</x:v>
      </x:c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 ht="15" hidden="0" customHeight="1">
      <x:c r="A17" s="17" t="str">
        <x:v>Initial ΔK</x:v>
      </x:c>
      <x:c r="B17" s="47" t="n">
        <x:f>Inputs!$B$87*B7*SQRT(PI()*Inputs!$B$88)</x:f>
        <x:v>4.794040699184231</x:v>
      </x:c>
      <x:c r="C17" s="17" t="str">
        <x:v>MPa√m</x:v>
      </x:c>
      <x:c r="D17" s="17" t="str">
        <x:v>YΔσ√(πa0)</x:v>
      </x:c>
      <x:c r="E17" s="17" t="str"/>
      <x:c r="F17" s="17" t="str">
        <x:v>Check against threshold</x:v>
      </x:c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15" hidden="0" customHeight="1">
      <x:c r="A18" s="17" t="str">
        <x:v>Final ΔK</x:v>
      </x:c>
      <x:c r="B18" s="47" t="n">
        <x:f>Inputs!$B$87*B7*SQRT(PI()*B16)</x:f>
        <x:v>22.500000000000004</x:v>
      </x:c>
      <x:c r="C18" s="17" t="str">
        <x:v>MPa√m</x:v>
      </x:c>
      <x:c r="D18" s="17" t="str">
        <x:v>YΔσ√(πac)</x:v>
      </x:c>
      <x:c r="E18" s="17" t="str"/>
      <x:c r="F18" s="17" t="str">
        <x:v>Near-fracture Paris law is approximate</x:v>
      </x:c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 ht="15" hidden="0" customHeight="1">
      <x:c r="A19" s="17" t="str">
        <x:v>Paris-law propagation life</x:v>
      </x:c>
      <x:c r="B19" s="55" t="n">
        <x:f>IF(Inputs!$B$91=2,LN(B16/Inputs!$B$88)/(Inputs!$B$90*(Inputs!$B$87*B7*SQRT(PI()))^Inputs!$B$91),(B16^(1-Inputs!$B$91/2)-Inputs!$B$88^(1-Inputs!$B$91/2))/((1-Inputs!$B$91/2)*Inputs!$B$90*(Inputs!$B$87*B7*SQRT(PI()))^Inputs!$B$91))</x:f>
        <x:v>714219.6482131754</x:v>
      </x:c>
      <x:c r="C19" s="17" t="str">
        <x:v>cycles</x:v>
      </x:c>
      <x:c r="D19" s="17" t="str">
        <x:v>Integral da/[C(YΔσ√πa)^m]</x:v>
      </x:c>
      <x:c r="E19" s="17" t="str"/>
      <x:c r="F19" s="17" t="str">
        <x:v>Constant-amplitude Region II screen</x:v>
      </x:c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 ht="15" hidden="0" customHeight="1">
      <x:c r="A20" s="17" t="str">
        <x:v>Inspection interval</x:v>
      </x:c>
      <x:c r="B20" s="55" t="n">
        <x:f>B19/Inputs!$B$93</x:f>
        <x:v>178554.91205329384</x:v>
      </x:c>
      <x:c r="C20" s="17" t="str">
        <x:v>cycles</x:v>
      </x:c>
      <x:c r="D20" s="17" t="str">
        <x:v>Propagation life / safety factor</x:v>
      </x:c>
      <x:c r="E20" s="17" t="str"/>
      <x:c r="F20" s="17" t="str">
        <x:v>Inspection method must detect a0</x:v>
      </x:c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 ht="15" hidden="0" customHeight="1">
      <x:c r="A21" s="17" t="str">
        <x:v>Threshold check</x:v>
      </x:c>
      <x:c r="B21" s="51" t="str">
        <x:f>IF(B17&gt;=Inputs!$B$92,"Within Paris region at a0","Below threshold at a0")</x:f>
        <x:v>Within Paris region at a0</x:v>
      </x:c>
      <x:c r="C21" s="17" t="str">
        <x:v>—</x:v>
      </x:c>
      <x:c r="D21" s="17" t="str">
        <x:v>ΔK0 ≥ ΔKth</x:v>
      </x:c>
      <x:c r="E21" s="17" t="str"/>
      <x:c r="F21" s="17" t="str">
        <x:v>Below-threshold growth needs another model</x:v>
      </x:c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 ht="15" hidden="0" customHeight="1">
      <x:c r="A22" s="17" t="str">
        <x:v>Damage-tolerance status</x:v>
      </x:c>
      <x:c r="B22" s="17" t="str">
        <x:v>Screening only</x:v>
      </x:c>
      <x:c r="C22" s="17" t="str">
        <x:v>—</x:v>
      </x:c>
      <x:c r="D22" s="17" t="str">
        <x:v>Input quality gate</x:v>
      </x:c>
      <x:c r="E22" s="17" t="str"/>
      <x:c r="F22" s="17" t="str">
        <x:v>Use alloy/orientation/thickness-specific data</x:v>
      </x:c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 ht="15" hidden="0" customHeight="1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 ht="15" hidden="0" customHeight="1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 ht="15" hidden="0" customHeight="1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 ht="15" hidden="0" customHeight="1">
      <x:c r="A26" s="12" t="str">
        <x:v>Point</x:v>
      </x:c>
      <x:c r="B26" s="12" t="str">
        <x:v>Crack a (mm)</x:v>
      </x:c>
      <x:c r="C26" s="12" t="str">
        <x:v>ΔK (MPa√m)</x:v>
      </x:c>
      <x:c r="D26" s="12" t="str">
        <x:v>da/dN (m/cycle)</x:v>
      </x:c>
      <x:c r="E26" s="12" t="str">
        <x:v>Incremental cycles</x:v>
      </x:c>
      <x:c r="F26" s="12" t="str">
        <x:v>Cumulative cycles</x:v>
      </x:c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 ht="15" hidden="0" customHeight="1">
      <x:c r="A27" s="50" t="n">
        <x:v>0</x:v>
      </x:c>
      <x:c r="B27" s="44" t="n">
        <x:f>Inputs!$B$88*($B$16/Inputs!$B$88)^(0/25)*1000</x:f>
        <x:v>0.5</x:v>
      </x:c>
      <x:c r="C27" s="56" t="n">
        <x:f>Inputs!$B$87*$B$7*SQRT(PI()*B27/1000)</x:f>
        <x:v>4.794040699184231</x:v>
      </x:c>
      <x:c r="D27" s="57" t="n">
        <x:f>Inputs!$B$90*C27^Inputs!$B$91</x:f>
        <x:v>1.1018060430701328e-9</x:v>
      </x:c>
      <x:c r="E27" s="55" t="n">
        <x:v>0</x:v>
      </x:c>
      <x:c r="F27" s="55" t="n">
        <x:v>0</x:v>
      </x:c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 ht="15" hidden="0" customHeight="1">
      <x:c r="A28" s="50" t="n">
        <x:v>1</x:v>
      </x:c>
      <x:c r="B28" s="44" t="n">
        <x:f>Inputs!$B$88*($B$16/Inputs!$B$88)^(1/25)*1000</x:f>
        <x:v>0.5658332554449599</x:v>
      </x:c>
      <x:c r="C28" s="56" t="n">
        <x:f>Inputs!$B$87*$B$7*SQRT(PI()*B28/1000)</x:f>
        <x:v>5.099891642469199</x:v>
      </x:c>
      <x:c r="D28" s="57" t="n">
        <x:f>Inputs!$B$90*C28^Inputs!$B$91</x:f>
        <x:v>1.3264254504151305e-9</x:v>
      </x:c>
      <x:c r="E28" s="55" t="n">
        <x:f>(B28-B27)/1000*0.5*(1/D27+1/D28)</x:f>
        <x:v>54691.196794583215</x:v>
      </x:c>
      <x:c r="F28" s="55" t="n">
        <x:f>F27+E28</x:f>
        <x:v>54691.196794583215</x:v>
      </x:c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 ht="15" hidden="0" customHeight="1">
      <x:c r="A29" s="50" t="n">
        <x:v>2</x:v>
      </x:c>
      <x:c r="B29" s="44" t="n">
        <x:f>Inputs!$B$88*($B$16/Inputs!$B$88)^(2/25)*1000</x:f>
        <x:v>0.6403345459348826</x:v>
      </x:c>
      <x:c r="C29" s="56" t="n">
        <x:f>Inputs!$B$87*$B$7*SQRT(PI()*B29/1000)</x:f>
        <x:v>5.4252553111100905</x:v>
      </x:c>
      <x:c r="D29" s="57" t="n">
        <x:f>Inputs!$B$90*C29^Inputs!$B$91</x:f>
        <x:v>1.596836835825006e-9</x:v>
      </x:c>
      <x:c r="E29" s="55" t="n">
        <x:f>(B29-B28)/1000*0.5*(1/D28+1/D29)</x:f>
        <x:v>51411.25374839965</x:v>
      </x:c>
      <x:c r="F29" s="55" t="n">
        <x:f>F28+E29</x:f>
        <x:v>106102.45054298287</x:v>
      </x:c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 ht="15" hidden="0" customHeight="1">
      <x:c r="A30" s="50" t="n">
        <x:v>3</x:v>
      </x:c>
      <x:c r="B30" s="44" t="n">
        <x:f>Inputs!$B$88*($B$16/Inputs!$B$88)^(3/25)*1000</x:f>
        <x:v>0.7246451614004097</x:v>
      </x:c>
      <x:c r="C30" s="56" t="n">
        <x:f>Inputs!$B$87*$B$7*SQRT(PI()*B30/1000)</x:f>
        <x:v>5.771376580949781</x:v>
      </x:c>
      <x:c r="D30" s="57" t="n">
        <x:f>Inputs!$B$90*C30^Inputs!$B$91</x:f>
        <x:v>1.922375569203366e-9</x:v>
      </x:c>
      <x:c r="E30" s="55" t="n">
        <x:f>(B30-B29)/1000*0.5*(1/D29+1/D30)</x:f>
        <x:v>48328.01560203031</x:v>
      </x:c>
      <x:c r="F30" s="55" t="n">
        <x:f>F29+E30</x:f>
        <x:v>154430.46614501317</x:v>
      </x:c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 ht="15" hidden="0" customHeight="1">
      <x:c r="A31" s="50" t="n">
        <x:v>4</x:v>
      </x:c>
      <x:c r="B31" s="44" t="n">
        <x:f>Inputs!$B$88*($B$16/Inputs!$B$88)^(4/25)*1000</x:f>
        <x:v>0.8200566614352646</x:v>
      </x:c>
      <x:c r="C31" s="56" t="n">
        <x:f>Inputs!$B$87*$B$7*SQRT(PI()*B31/1000)</x:f>
        <x:v>6.139579748610964</x:v>
      </x:c>
      <x:c r="D31" s="57" t="n">
        <x:f>Inputs!$B$90*C31^Inputs!$B$91</x:f>
        <x:v>2.314280173253063e-9</x:v>
      </x:c>
      <x:c r="E31" s="55" t="n">
        <x:f>(B31-B30)/1000*0.5*(1/D30+1/D31)</x:f>
        <x:v>45429.68555990126</x:v>
      </x:c>
      <x:c r="F31" s="55" t="n">
        <x:f>F30+E31</x:f>
        <x:v>199860.15170491443</x:v>
      </x:c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 ht="15" hidden="0" customHeight="1">
      <x:c r="A32" s="50" t="n">
        <x:v>5</x:v>
      </x:c>
      <x:c r="B32" s="44" t="n">
        <x:f>Inputs!$B$88*($B$16/Inputs!$B$88)^(5/25)*1000</x:f>
        <x:v>0.928030660778482</x:v>
      </x:c>
      <x:c r="C32" s="56" t="n">
        <x:f>Inputs!$B$87*$B$7*SQRT(PI()*B32/1000)</x:f>
        <x:v>6.5312735983952335</x:v>
      </x:c>
      <x:c r="D32" s="57" t="n">
        <x:f>Inputs!$B$90*C32^Inputs!$B$91</x:f>
        <x:v>2.7860803092351556e-9</x:v>
      </x:c>
      <x:c r="E32" s="55" t="n">
        <x:f>(B32-B31)/1000*0.5*(1/D31+1/D32)</x:f>
        <x:v>42705.17430442122</x:v>
      </x:c>
      <x:c r="F32" s="55" t="n">
        <x:f>F31+E32</x:f>
        <x:v>242565.32600933564</x:v>
      </x:c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 ht="15" hidden="0" customHeight="1">
      <x:c r="A33" s="50" t="n">
        <x:v>6</x:v>
      </x:c>
      <x:c r="B33" s="44" t="n">
        <x:f>Inputs!$B$88*($B$16/Inputs!$B$88)^(6/25)*1000</x:f>
        <x:v>1.0502212198820517</x:v>
      </x:c>
      <x:c r="C33" s="56" t="n">
        <x:f>Inputs!$B$87*$B$7*SQRT(PI()*B33/1000)</x:f>
        <x:v>6.947956792440981</x:v>
      </x:c>
      <x:c r="D33" s="57" t="n">
        <x:f>Inputs!$B$90*C33^Inputs!$B$91</x:f>
        <x:v>3.354063859345468e-9</x:v>
      </x:c>
      <x:c r="E33" s="55" t="n">
        <x:f>(B33-B32)/1000*0.5*(1/D32+1/D33)</x:f>
        <x:v>40144.05756707983</x:v>
      </x:c>
      <x:c r="F33" s="55" t="n">
        <x:f>F32+E33</x:f>
        <x:v>282709.3835764155</x:v>
      </x:c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 ht="15" hidden="0" customHeight="1">
      <x:c r="A34" s="50" t="n">
        <x:v>7</x:v>
      </x:c>
      <x:c r="B34" s="44" t="n">
        <x:f>Inputs!$B$88*($B$16/Inputs!$B$88)^(7/25)*1000</x:f>
        <x:v>1.1885001835664766</x:v>
      </x:c>
      <x:c r="C34" s="56" t="n">
        <x:f>Inputs!$B$87*$B$7*SQRT(PI()*B34/1000)</x:f>
        <x:v>7.391223604763386</x:v>
      </x:c>
      <x:c r="D34" s="57" t="n">
        <x:f>Inputs!$B$90*C34^Inputs!$B$91</x:f>
        <x:v>4.037839230720425e-9</x:v>
      </x:c>
      <x:c r="E34" s="55" t="n">
        <x:f>(B34-B33)/1000*0.5*(1/D33+1/D34)</x:f>
        <x:v>37736.53624409079</x:v>
      </x:c>
      <x:c r="F34" s="55" t="n">
        <x:f>F33+E34</x:f>
        <x:v>320445.91982050624</x:v>
      </x:c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 ht="15" hidden="0" customHeight="1">
      <x:c r="A35" s="50" t="n">
        <x:v>8</x:v>
      </x:c>
      <x:c r="B35" s="44" t="n">
        <x:f>Inputs!$B$88*($B$16/Inputs!$B$88)^(8/25)*1000</x:f>
        <x:v>1.3449858559287038</x:v>
      </x:c>
      <x:c r="C35" s="56" t="n">
        <x:f>Inputs!$B$87*$B$7*SQRT(PI()*B35/1000)</x:f>
        <x:v>7.862770021115601</x:v>
      </x:c>
      <x:c r="D35" s="57" t="n">
        <x:f>Inputs!$B$90*C35^Inputs!$B$91</x:f>
        <x:v>4.861012293405349e-9</x:v>
      </x:c>
      <x:c r="E35" s="55" t="n">
        <x:f>(B35-B34)/1000*0.5*(1/D34+1/D35)</x:f>
        <x:v>35473.39890398565</x:v>
      </x:c>
      <x:c r="F35" s="55" t="n">
        <x:f>F34+E35</x:f>
        <x:v>355919.31872449187</x:v>
      </x:c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 ht="15" hidden="0" customHeight="1">
      <x:c r="A36" s="50" t="n">
        <x:v>9</x:v>
      </x:c>
      <x:c r="B36" s="44" t="n">
        <x:f>Inputs!$B$88*($B$16/Inputs!$B$88)^(9/25)*1000</x:f>
        <x:v>1.5220754507751284</x:v>
      </x:c>
      <x:c r="C36" s="56" t="n">
        <x:f>Inputs!$B$87*$B$7*SQRT(PI()*B36/1000)</x:f>
        <x:v>8.364400228009794</x:v>
      </x:c>
      <x:c r="D36" s="57" t="n">
        <x:f>Inputs!$B$90*C36^Inputs!$B$91</x:f>
        <x:v>5.852001322108612e-9</x:v>
      </x:c>
      <x:c r="E36" s="55" t="n">
        <x:f>(B36-B35)/1000*0.5*(1/D35+1/D36)</x:f>
        <x:v>33345.986543699684</x:v>
      </x:c>
      <x:c r="F36" s="55" t="n">
        <x:f>F35+E36</x:f>
        <x:v>389265.30526819156</x:v>
      </x:c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 ht="15" hidden="0" customHeight="1">
      <x:c r="A37" s="50" t="n">
        <x:v>10</x:v>
      </x:c>
      <x:c r="B37" s="44" t="n">
        <x:f>Inputs!$B$88*($B$16/Inputs!$B$88)^(10/25)*1000</x:f>
        <x:v>1.722481814689892</x:v>
      </x:c>
      <x:c r="C37" s="56" t="n">
        <x:f>Inputs!$B$87*$B$7*SQRT(PI()*B37/1000)</x:f>
        <x:v>8.898033515725755</x:v>
      </x:c>
      <x:c r="D37" s="57" t="n">
        <x:f>Inputs!$B$90*C37^Inputs!$B$91</x:f>
        <x:v>7.0450180758481934e-9</x:v>
      </x:c>
      <x:c r="E37" s="55" t="n">
        <x:f>(B37-B36)/1000*0.5*(1/D36+1/D37)</x:f>
        <x:v>31346.159458310874</x:v>
      </x:c>
      <x:c r="F37" s="55" t="n">
        <x:f>F36+E37</x:f>
        <x:v>420611.4647265024</x:v>
      </x:c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 ht="15" hidden="0" customHeight="1">
      <x:c r="A38" s="50" t="n">
        <x:v>11</x:v>
      </x:c>
      <x:c r="B38" s="44" t="n">
        <x:f>Inputs!$B$88*($B$16/Inputs!$B$88)^(11/25)*1000</x:f>
        <x:v>1.9492749853014475</x:v>
      </x:c>
      <x:c r="C38" s="56" t="n">
        <x:f>Inputs!$B$87*$B$7*SQRT(PI()*B38/1000)</x:f>
        <x:v>9.465711621718697</x:v>
      </x:c>
      <x:c r="D38" s="57" t="n">
        <x:f>Inputs!$B$90*C38^Inputs!$B$91</x:f>
        <x:v>8.481248885149618e-9</x:v>
      </x:c>
      <x:c r="E38" s="55" t="n">
        <x:f>(B38-B37)/1000*0.5*(1/D37+1/D38)</x:f>
        <x:v>29466.266097666077</x:v>
      </x:c>
      <x:c r="F38" s="55" t="n">
        <x:f>F37+E38</x:f>
        <x:v>450077.7308241685</x:v>
      </x:c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 ht="15" hidden="0" customHeight="1">
      <x:c r="A39" s="50" t="n">
        <x:v>12</x:v>
      </x:c>
      <x:c r="B39" s="44" t="n">
        <x:f>Inputs!$B$88*($B$16/Inputs!$B$88)^(12/25)*1000</x:f>
        <x:v>2.2059292213810884</x:v>
      </x:c>
      <x:c r="C39" s="56" t="n">
        <x:f>Inputs!$B$87*$B$7*SQRT(PI()*B39/1000)</x:f>
        <x:v>10.069606542522932</x:v>
      </x:c>
      <x:c r="D39" s="57" t="n">
        <x:f>Inputs!$B$90*C39^Inputs!$B$91</x:f>
        <x:v>1.0210276521283634e-8</x:v>
      </x:c>
      <x:c r="E39" s="55" t="n">
        <x:f>(B39-B38)/1000*0.5*(1/D38+1/D39)</x:f>
        <x:v>27699.113790741012</x:v>
      </x:c>
      <x:c r="F39" s="55" t="n">
        <x:f>F38+E39</x:f>
        <x:v>477776.8446149095</x:v>
      </x:c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 ht="15" hidden="0" customHeight="1">
      <x:c r="A40" s="50" t="n">
        <x:v>13</x:v>
      </x:c>
      <x:c r="B40" s="44" t="n">
        <x:f>Inputs!$B$88*($B$16/Inputs!$B$88)^(13/25)*1000</x:f>
        <x:v>2.496376225230454</x:v>
      </x:c>
      <x:c r="C40" s="56" t="n">
        <x:f>Inputs!$B$87*$B$7*SQRT(PI()*B40/1000)</x:f>
        <x:v>10.712028844040564</x:v>
      </x:c>
      <x:c r="D40" s="57" t="n">
        <x:f>Inputs!$B$90*C40^Inputs!$B$91</x:f>
        <x:v>1.2291791934512584e-8</x:v>
      </x:c>
      <x:c r="E40" s="55" t="n">
        <x:f>(B40-B39)/1000*0.5*(1/D39+1/D40)</x:f>
        <x:v>26037.941225718867</x:v>
      </x:c>
      <x:c r="F40" s="55" t="n">
        <x:f>F39+E40</x:f>
        <x:v>503814.7858406284</x:v>
      </x:c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 ht="15" hidden="0" customHeight="1">
      <x:c r="A41" s="50" t="n">
        <x:v>14</x:v>
      </x:c>
      <x:c r="B41" s="44" t="n">
        <x:f>Inputs!$B$88*($B$16/Inputs!$B$88)^(14/25)*1000</x:f>
        <x:v>2.825065372675097</x:v>
      </x:c>
      <x:c r="C41" s="56" t="n">
        <x:f>Inputs!$B$87*$B$7*SQRT(PI()*B41/1000)</x:f>
        <x:v>11.395436502011236</x:v>
      </x:c>
      <x:c r="D41" s="57" t="n">
        <x:f>Inputs!$B$90*C41^Inputs!$B$91</x:f>
        <x:v>1.4797654955416787e-8</x:v>
      </x:c>
      <x:c r="E41" s="55" t="n">
        <x:f>(B41-B40)/1000*0.5*(1/D40+1/D41)</x:f>
        <x:v>24476.39258049534</x:v>
      </x:c>
      <x:c r="F41" s="55" t="n">
        <x:f>F40+E41</x:f>
        <x:v>528291.1784211238</x:v>
      </x:c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 ht="15" hidden="0" customHeight="1">
      <x:c r="A42" s="50" t="n">
        <x:v>15</x:v>
      </x:c>
      <x:c r="B42" s="44" t="n">
        <x:f>Inputs!$B$88*($B$16/Inputs!$B$88)^(15/25)*1000</x:f>
        <x:v>3.1970318733311576</x:v>
      </x:c>
      <x:c r="C42" s="56" t="n">
        <x:f>Inputs!$B$87*$B$7*SQRT(PI()*B42/1000)</x:f>
        <x:v>12.122444306487564</x:v>
      </x:c>
      <x:c r="D42" s="57" t="n">
        <x:f>Inputs!$B$90*C42^Inputs!$B$91</x:f>
        <x:v>1.7814375100570237e-8</x:v>
      </x:c>
      <x:c r="E42" s="55" t="n">
        <x:f>(B42-B41)/1000*0.5*(1/D41+1/D42)</x:f>
        <x:v>23008.493204630682</x:v>
      </x:c>
      <x:c r="F42" s="55" t="n">
        <x:f>F41+E42</x:f>
        <x:v>551299.6716257544</x:v>
      </x:c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 ht="15" hidden="0" customHeight="1">
      <x:c r="A43" s="50" t="n">
        <x:v>16</x:v>
      </x:c>
      <x:c r="B43" s="44" t="n">
        <x:f>Inputs!$B$88*($B$16/Inputs!$B$88)^(16/25)*1000</x:f>
        <x:v>3.6179739052965356</x:v>
      </x:c>
      <x:c r="C43" s="56" t="n">
        <x:f>Inputs!$B$87*$B$7*SQRT(PI()*B43/1000)</x:f>
        <x:v>12.89583386629869</x:v>
      </x:c>
      <x:c r="D43" s="57" t="n">
        <x:f>Inputs!$B$90*C43^Inputs!$B$91</x:f>
        <x:v>2.144609812703114e-8</x:v>
      </x:c>
      <x:c r="E43" s="55" t="n">
        <x:f>(B43-B42)/1000*0.5*(1/D42+1/D43)</x:f>
        <x:v>21628.62675970467</x:v>
      </x:c>
      <x:c r="F43" s="55" t="n">
        <x:f>F42+E43</x:f>
        <x:v>572928.2983854591</x:v>
      </x:c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 ht="15" hidden="0" customHeight="1">
      <x:c r="A44" s="50" t="n">
        <x:v>17</x:v>
      </x:c>
      <x:c r="B44" s="44" t="n">
        <x:f>Inputs!$B$88*($B$16/Inputs!$B$88)^(17/25)*1000</x:f>
        <x:v>4.0943399058977095</x:v>
      </x:c>
      <x:c r="C44" s="56" t="n">
        <x:f>Inputs!$B$87*$B$7*SQRT(PI()*B44/1000)</x:f>
        <x:v>13.71856425178016</x:v>
      </x:c>
      <x:c r="D44" s="57" t="n">
        <x:f>Inputs!$B$90*C44^Inputs!$B$91</x:f>
        <x:v>2.581820144000034e-8</x:v>
      </x:c>
      <x:c r="E44" s="55" t="n">
        <x:f>(B44-B43)/1000*0.5*(1/D43+1/D44)</x:f>
        <x:v>20331.513730610764</x:v>
      </x:c>
      <x:c r="F44" s="55" t="n">
        <x:f>F43+E44</x:f>
        <x:v>593259.8121160698</x:v>
      </x:c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 ht="15" hidden="0" customHeight="1">
      <x:c r="A45" s="50" t="n">
        <x:v>18</x:v>
      </x:c>
      <x:c r="B45" s="44" t="n">
        <x:f>Inputs!$B$88*($B$16/Inputs!$B$88)^(18/25)*1000</x:f>
        <x:v>4.6334273557046215</x:v>
      </x:c>
      <x:c r="C45" s="56" t="n">
        <x:f>Inputs!$B$87*$B$7*SQRT(PI()*B45/1000)</x:f>
        <x:v>14.593783316490303</x:v>
      </x:c>
      <x:c r="D45" s="57" t="n">
        <x:f>Inputs!$B$90*C45^Inputs!$B$91</x:f>
        <x:v>3.108162247734301e-8</x:v>
      </x:c>
      <x:c r="E45" s="55" t="n">
        <x:f>(B45-B44)/1000*0.5*(1/D44+1/D45)</x:f>
        <x:v>19112.191225572496</x:v>
      </x:c>
      <x:c r="F45" s="55" t="n">
        <x:f>F44+E45</x:f>
        <x:v>612372.0033416423</x:v>
      </x:c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 ht="15" hidden="0" customHeight="1">
      <x:c r="A46" s="50" t="n">
        <x:v>19</x:v>
      </x:c>
      <x:c r="B46" s="44" t="n">
        <x:f>Inputs!$B$88*($B$16/Inputs!$B$88)^(19/25)*1000</x:f>
        <x:v>5.243494569092157</x:v>
      </x:c>
      <x:c r="C46" s="56" t="n">
        <x:f>Inputs!$B$87*$B$7*SQRT(PI()*B46/1000)</x:f>
        <x:v>15.524839741231233</x:v>
      </x:c>
      <x:c r="D46" s="57" t="n">
        <x:f>Inputs!$B$90*C46^Inputs!$B$91</x:f>
        <x:v>3.741806949911464e-8</x:v>
      </x:c>
      <x:c r="E46" s="55" t="n">
        <x:f>(B46-B45)/1000*0.5*(1/D45+1/D46)</x:f>
        <x:v>17965.993987594815</x:v>
      </x:c>
      <x:c r="F46" s="55" t="n">
        <x:f>F45+E46</x:f>
        <x:v>630337.9973292372</x:v>
      </x:c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 ht="15" hidden="0" customHeight="1">
      <x:c r="A47" s="50" t="n">
        <x:v>20</x:v>
      </x:c>
      <x:c r="B47" s="44" t="n">
        <x:f>Inputs!$B$88*($B$16/Inputs!$B$88)^(20/25)*1000</x:f>
        <x:v>5.933887203874765</x:v>
      </x:c>
      <x:c r="C47" s="56" t="n">
        <x:f>Inputs!$B$87*$B$7*SQRT(PI()*B47/1000)</x:f>
        <x:v>16.515295846456105</x:v>
      </x:c>
      <x:c r="D47" s="57" t="n">
        <x:f>Inputs!$B$90*C47^Inputs!$B$91</x:f>
        <x:v>4.504629467336166e-8</x:v>
      </x:c>
      <x:c r="E47" s="55" t="n">
        <x:f>(B47-B46)/1000*0.5*(1/D46+1/D47)</x:f>
        <x:v>16888.536544695617</x:v>
      </x:c>
      <x:c r="F47" s="55" t="n">
        <x:f>F46+E47</x:f>
        <x:v>647226.5338739328</x:v>
      </x:c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 ht="15" hidden="0" customHeight="1">
      <x:c r="A48" s="50" t="n">
        <x:v>21</x:v>
      </x:c>
      <x:c r="B48" s="44" t="n">
        <x:f>Inputs!$B$88*($B$16/Inputs!$B$88)^(21/25)*1000</x:f>
        <x:v>6.715181428023297</x:v>
      </x:c>
      <x:c r="C48" s="56" t="n">
        <x:f>Inputs!$B$87*$B$7*SQRT(PI()*B48/1000)</x:f>
        <x:v>17.568941222084316</x:v>
      </x:c>
      <x:c r="D48" s="57" t="n">
        <x:f>Inputs!$B$90*C48^Inputs!$B$91</x:f>
        <x:v>5.422964602295536e-8</x:v>
      </x:c>
      <x:c r="E48" s="55" t="n">
        <x:f>(B48-B47)/1000*0.5*(1/D47+1/D48)</x:f>
        <x:v>15875.696430626622</x:v>
      </x:c>
      <x:c r="F48" s="55" t="n">
        <x:f>F47+E48</x:f>
        <x:v>663102.2303045595</x:v>
      </x:c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 ht="15" hidden="0" customHeight="1">
      <x:c r="A49" s="50" t="n">
        <x:v>22</x:v>
      </x:c>
      <x:c r="B49" s="44" t="n">
        <x:f>Inputs!$B$88*($B$16/Inputs!$B$88)^(22/25)*1000</x:f>
        <x:v>7.599345936643915</x:v>
      </x:c>
      <x:c r="C49" s="56" t="n">
        <x:f>Inputs!$B$87*$B$7*SQRT(PI()*B49/1000)</x:f>
        <x:v>18.689807226873764</x:v>
      </x:c>
      <x:c r="D49" s="57" t="n">
        <x:f>Inputs!$B$90*C49^Inputs!$B$91</x:f>
        <x:v>6.528515894813713e-8</x:v>
      </x:c>
      <x:c r="E49" s="55" t="n">
        <x:f>(B49-B48)/1000*0.5*(1/D48+1/D49)</x:f>
        <x:v>14923.598411880908</x:v>
      </x:c>
      <x:c r="F49" s="55" t="n">
        <x:f>F48+E49</x:f>
        <x:v>678025.8287164404</x:v>
      </x:c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 ht="15" hidden="0" customHeight="1">
      <x:c r="A50" s="50" t="n">
        <x:v>23</x:v>
      </x:c>
      <x:c r="B50" s="44" t="n">
        <x:f>Inputs!$B$88*($B$16/Inputs!$B$88)^(23/25)*1000</x:f>
        <x:v>8.599925301167309</x:v>
      </x:c>
      <x:c r="C50" s="56" t="n">
        <x:f>Inputs!$B$87*$B$7*SQRT(PI()*B50/1000)</x:f>
        <x:v>19.882182412826243</x:v>
      </x:c>
      <x:c r="D50" s="57" t="n">
        <x:f>Inputs!$B$90*C50^Inputs!$B$91</x:f>
        <x:v>7.859450118998314e-8</x:v>
      </x:c>
      <x:c r="E50" s="55" t="n">
        <x:f>(B50-B49)/1000*0.5*(1/D49+1/D50)</x:f>
        <x:v>14028.599660638816</x:v>
      </x:c>
      <x:c r="F50" s="55" t="n">
        <x:f>F49+E50</x:f>
        <x:v>692054.4283770792</x:v>
      </x:c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 ht="15" hidden="0" customHeight="1">
      <x:c r="A51" s="50" t="n">
        <x:v>24</x:v>
      </x:c>
      <x:c r="B51" s="44" t="n">
        <x:f>Inputs!$B$88*($B$16/Inputs!$B$88)^(24/25)*1000</x:f>
        <x:v>9.73224745948595</x:v>
      </x:c>
      <x:c r="C51" s="56" t="n">
        <x:f>Inputs!$B$87*$B$7*SQRT(PI()*B51/1000)</x:f>
        <x:v>21.15062893364144</x:v>
      </x:c>
      <x:c r="D51" s="57" t="n">
        <x:f>Inputs!$B$90*C51^Inputs!$B$91</x:f>
        <x:v>9.46171490860484e-8</x:v>
      </x:c>
      <x:c r="E51" s="55" t="n">
        <x:f>(B51-B50)/1000*0.5*(1/D50+1/D51)</x:f>
        <x:v>13187.27581692355</x:v>
      </x:c>
      <x:c r="F51" s="55" t="n">
        <x:f>F50+E51</x:f>
        <x:v>705241.7041940028</x:v>
      </x:c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 ht="15" hidden="0" customHeight="1">
      <x:c r="A52" s="50" t="n">
        <x:v>25</x:v>
      </x:c>
      <x:c r="B52" s="44" t="n">
        <x:f>Inputs!$B$88*($B$16/Inputs!$B$88)^(25/25)*1000</x:f>
        <x:v>11.013658525593753</x:v>
      </x:c>
      <x:c r="C52" s="56" t="n">
        <x:f>Inputs!$B$87*$B$7*SQRT(PI()*B52/1000)</x:f>
        <x:v>22.500000000000004</x:v>
      </x:c>
      <x:c r="D52" s="57" t="n">
        <x:f>Inputs!$B$90*C52^Inputs!$B$91</x:f>
        <x:v>1.1390625000000005e-7</x:v>
      </x:c>
      <x:c r="E52" s="55" t="n">
        <x:f>(B52-B51)/1000*0.5*(1/D51+1/D52)</x:f>
        <x:v>12396.407886637044</x:v>
      </x:c>
      <x:c r="F52" s="55" t="n">
        <x:f>F51+E52</x:f>
        <x:v>717638.1120806398</x:v>
      </x:c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 ht="15" hidden="0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 ht="15" hidden="0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 ht="15" hidden="0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 ht="15" hidden="0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 ht="15" hidden="0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 ht="15" hidden="0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 ht="15" hidden="0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 ht="15" hidden="0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 ht="15" hidden="0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 ht="15" hidden="0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 ht="15" hidden="0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 ht="15" hidden="0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 ht="15" hidden="0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 ht="15" hidden="0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 ht="15" hidden="0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 ht="15" hidden="0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 ht="15" hidden="0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 ht="15" hidden="0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 ht="15" hidden="0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 ht="15" hidden="0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 ht="15" hidden="0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 ht="15" hidden="0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 ht="15" hidden="0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 ht="15" hidden="0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 ht="15" hidden="0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 ht="15" hidden="0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 ht="15" hidden="0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 ht="15" hidden="0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 ht="15" hidden="0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 ht="15" hidden="0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 ht="15" hidden="0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 ht="15" hidden="0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 ht="15" hidden="0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 ht="15" hidden="0" customHeight="1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 ht="15" hidden="0" customHeight="1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 ht="15" hidden="0" customHeight="1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 ht="15" hidden="0" customHeight="1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 ht="15" hidden="0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 ht="15" hidden="0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 ht="15" hidden="0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 ht="15" hidden="0" customHeight="1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 ht="15" hidden="0" customHeight="1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 ht="15" hidden="0" customHeight="1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 ht="15" hidden="0" customHeight="1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 ht="15" hidden="0" customHeight="1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 ht="15" hidden="0" customHeight="1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 ht="15" hidden="0" customHeight="1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 ht="15" hidden="0" customHeight="1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 ht="15" hidden="0" customHeight="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 ht="15" hidden="0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 ht="15" hidden="0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 ht="15" hidden="0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 ht="15" hidden="0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 ht="15" hidden="0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 ht="15" hidden="0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 ht="15" hidden="0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 ht="15" hidden="0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 ht="15" hidden="0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 ht="15" hidden="0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 ht="15" hidden="0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 ht="15" hidden="0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 ht="15" hidden="0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 ht="15" hidden="0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 ht="15" hidden="0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 ht="15" hidden="0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 ht="15" hidden="0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 ht="15" hidden="0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 ht="15" hidden="0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 ht="15" hidden="0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 ht="15" hidden="0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 ht="15" hidden="0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 ht="15" hidden="0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 ht="15" hidden="0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 ht="15" hidden="0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 ht="15" hidden="0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 ht="15" hidden="0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 ht="15" hidden="0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 ht="15" hidden="0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 ht="15" hidden="0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 ht="15" hidden="0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 ht="15" hidden="0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 ht="15" hidden="0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 ht="15" hidden="0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 ht="15" hidden="0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 ht="15" hidden="0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 ht="15" hidden="0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 ht="15" hidden="0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 ht="15" hidden="0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 ht="15" hidden="0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 ht="15" hidden="0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 ht="15" hidden="0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 ht="15" hidden="0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 ht="15" hidden="0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 ht="15" hidden="0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 ht="15" hidden="0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 ht="15" hidden="0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 ht="15" hidden="0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 ht="15" hidden="0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 ht="15" hidden="0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 ht="15" hidden="0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 ht="15" hidden="0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 ht="15" hidden="0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 ht="15" hidden="0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 ht="15" hidden="0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 ht="15" hidden="0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 ht="15" hidden="0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 ht="15" hidden="0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 ht="15" hidden="0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 ht="15" hidden="0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 ht="15" hidden="0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 ht="15" hidden="0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 ht="15" hidden="0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 ht="15" hidden="0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 ht="15" hidden="0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 ht="15" hidden="0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 ht="15" hidden="0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 ht="15" hidden="0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 ht="15" hidden="0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 ht="15" hidden="0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 ht="15" hidden="0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 ht="15" hidden="0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 ht="15" hidden="0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 ht="15" hidden="0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 ht="15" hidden="0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 ht="15" hidden="0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 ht="15" hidden="0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 ht="15" hidden="0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 ht="15" hidden="0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 ht="15" hidden="0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 ht="15" hidden="0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 ht="15" hidden="0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 ht="15" hidden="0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 ht="15" hidden="0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 ht="15" hidden="0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 ht="15" hidden="0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 ht="15" hidden="0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 ht="15" hidden="0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 ht="15" hidden="0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 ht="15" hidden="0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 ht="15" hidden="0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 ht="15" hidden="0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 ht="15" hidden="0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 ht="15" hidden="0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 ht="15" hidden="0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 ht="15" hidden="0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 ht="15" hidden="0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 ht="15" hidden="0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 ht="15" hidden="0" customHeight="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 ht="15" hidden="0" customHeight="1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 ht="15" hidden="0" customHeight="1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 ht="15" hidden="0" customHeight="1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 ht="15" hidden="0" customHeight="1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 ht="15" hidden="0" customHeight="1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 ht="15" hidden="0" customHeight="1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 ht="15" hidden="0" customHeight="1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 ht="15" hidden="0" customHeight="1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 ht="15" hidden="0" customHeight="1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 ht="15" hidden="0" customHeight="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 ht="15" hidden="0" customHeight="1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 ht="15" hidden="0" customHeight="1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 ht="15" hidden="0" customHeight="1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 ht="15" hidden="0" customHeight="1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 ht="15" hidden="0" customHeight="1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 ht="15" hidden="0" customHeight="1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 ht="15" hidden="0" customHeight="1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 ht="15" hidden="0" customHeight="1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 ht="15" hidden="0" customHeight="1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</x:sheetData>
  <x:mergeCells>
    <x:mergeCell ref="A1:F1"/>
    <x:mergeCell ref="A2:F2"/>
  </x:mergeCells>
  <x:conditionalFormatting sqref="B14:B22">
    <x:cfRule type="containsText" dxfId="14" priority="1" operator="containsText" text="Pass"/>
    <x:cfRule type="containsText" dxfId="15" priority="2" operator="containsText" text="Within"/>
    <x:cfRule type="containsText" dxfId="16" priority="3" operator="containsText" text="Investigate"/>
    <x:cfRule type="containsText" dxfId="17" priority="4" operator="containsText" text="Outside"/>
    <x:cfRule type="containsText" dxfId="18" priority="5" operator="containsText" text="Missing"/>
    <x:cfRule type="containsText" dxfId="19" priority="6" operator="containsText" text="Run ANSYS"/>
    <x:cfRule type="containsText" dxfId="20" priority="7" operator="containsText" text="Screening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23" hidden="0" customWidth="1"/>
    <x:col min="4" max="4" width="18" hidden="0" customWidth="1"/>
    <x:col min="5" max="5" width="21" hidden="0" customWidth="1"/>
    <x:col min="6" max="6" width="21" hidden="0" customWidth="1"/>
    <x:col min="7" max="7" width="21" hidden="0" customWidth="1"/>
    <x:col min="8" max="8" width="20" hidden="0" customWidth="1"/>
    <x:col min="9" max="9" width="20" hidden="0" customWidth="1"/>
    <x:col min="10" max="10" width="20" hidden="0" customWidth="1"/>
    <x:col min="11" max="11" width="19" hidden="0" customWidth="1"/>
  </x:cols>
  <x:sheetData>
    <x:row r="1" ht="32" hidden="0" customHeight="1">
      <x:c r="A1" s="73" t="str">
        <x:v>Sizing iteration screen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2" hidden="0" customHeight="1">
      <x:c r="A2" s="7" t="str">
        <x:v>Rows 5–8 show analytical thickness-scaling estimates. The completed baseline and 0.89-thickness ANSYS results are shown alongside them and summarised below.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 ht="15" hidden="0" customHeight="1">
      <x:c r="A4" s="12" t="str">
        <x:v>Iteration</x:v>
      </x:c>
      <x:c r="B4" s="12" t="str">
        <x:v>Uniform t scale</x:v>
      </x:c>
      <x:c r="C4" s="12" t="str">
        <x:v>Analytical mass estimate (kg)</x:v>
      </x:c>
      <x:c r="D4" s="12" t="str">
        <x:v>Mass reduction</x:v>
      </x:c>
      <x:c r="E4" s="12" t="str">
        <x:v>Hand VM estimate (MPa)</x:v>
      </x:c>
      <x:c r="F4" s="12" t="str">
        <x:v>Hand tip deflection (m)</x:v>
      </x:c>
      <x:c r="G4" s="12" t="str">
        <x:v>Buckling FoS estimate</x:v>
      </x:c>
      <x:c r="H4" s="12" t="str">
        <x:v>ANSYS VM (MPa)</x:v>
      </x:c>
      <x:c r="I4" s="12" t="str">
        <x:v>ANSYS deformation (m)</x:v>
      </x:c>
      <x:c r="J4" s="12" t="str">
        <x:v>ANSYS eigenvalue</x:v>
      </x:c>
      <x:c r="K4" s="12" t="str">
        <x:v>Gate</x:v>
      </x:c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15" hidden="0" customHeight="1">
      <x:c r="A5" s="17" t="str">
        <x:v>Baseline</x:v>
      </x:c>
      <x:c r="B5" s="58" t="n">
        <x:v>1</x:v>
      </x:c>
      <x:c r="C5" s="59" t="n">
        <x:f>Inputs!$B$52*B5</x:f>
        <x:v>11906.881102358346</x:v>
      </x:c>
      <x:c r="D5" s="60" t="n">
        <x:f>1-C5/Inputs!$B$52</x:f>
        <x:v>0</x:v>
      </x:c>
      <x:c r="E5" s="47" t="n">
        <x:f>MAX('Beam Calc'!$K$70:$K$130)/B5</x:f>
        <x:v>174.45213732894666</x:v>
      </x:c>
      <x:c r="F5" s="47" t="n">
        <x:f>('Beam Calc'!$L$65+'Beam Calc'!$N$65)/B5</x:f>
        <x:v>2.796930467155179</x:v>
      </x:c>
      <x:c r="G5" s="47" t="n">
        <x:f>Buckling!$B$15*B5^3</x:f>
        <x:v>2.4780161838703396</x:v>
      </x:c>
      <x:c r="H5" s="61" t="n">
        <x:v>201.87</x:v>
      </x:c>
      <x:c r="I5" s="61" t="n">
        <x:v>2.9277</x:v>
      </x:c>
      <x:c r="J5" s="61" t="n">
        <x:f>Inputs!$B$75</x:f>
        <x:v>0.45096</x:v>
      </x:c>
      <x:c r="K5" s="17" t="str">
        <x:f>IF(OR(H5="",I5="",J5=""),"Analytical only",IF(AND(H5&lt;=Inputs!$B$43/1000000,I5&lt;=Inputs!$B$49,J5&gt;=Inputs!$B$76),"Pass screen","Investigate"))</x:f>
        <x:v>Investigate</x:v>
      </x:c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15" hidden="0" customHeight="1">
      <x:c r="A6" s="17" t="str">
        <x:v>Iteration 1</x:v>
      </x:c>
      <x:c r="B6" s="58" t="n">
        <x:v>0.96</x:v>
      </x:c>
      <x:c r="C6" s="59" t="n">
        <x:f>Inputs!$B$52*B6</x:f>
        <x:v>11430.60585826401</x:v>
      </x:c>
      <x:c r="D6" s="60" t="n">
        <x:f>1-C6/Inputs!$B$52</x:f>
        <x:v>0.04000000000000015</x:v>
      </x:c>
      <x:c r="E6" s="47" t="n">
        <x:f>MAX('Beam Calc'!$K$70:$K$130)/B6</x:f>
        <x:v>181.72097638431944</x:v>
      </x:c>
      <x:c r="F6" s="47" t="n">
        <x:f>('Beam Calc'!$L$65+'Beam Calc'!$N$65)/B6</x:f>
        <x:v>2.9134692366199784</x:v>
      </x:c>
      <x:c r="G6" s="47" t="n">
        <x:f>Buckling!$B$15*B6^3</x:f>
        <x:v>2.1923901264527084</x:v>
      </x:c>
      <x:c r="H6" s="61"/>
      <x:c r="I6" s="61"/>
      <x:c r="J6" s="61"/>
      <x:c r="K6" s="17" t="str">
        <x:f>IF(OR(H6="",I6="",J6=""),"Analytical only",IF(AND(H6&lt;=Inputs!$B$43/1000000,I6&lt;=Inputs!$B$49,J6&gt;=Inputs!$B$76),"Pass screen","Investigate"))</x:f>
        <x:v>Analytical only</x:v>
      </x:c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15" hidden="0" customHeight="1">
      <x:c r="A7" s="17" t="str">
        <x:v>Iteration 2</x:v>
      </x:c>
      <x:c r="B7" s="58" t="n">
        <x:v>0.93</x:v>
      </x:c>
      <x:c r="C7" s="59" t="n">
        <x:f>Inputs!$B$52*B7</x:f>
        <x:v>11073.399425193262</x:v>
      </x:c>
      <x:c r="D7" s="60" t="n">
        <x:f>1-C7/Inputs!$B$52</x:f>
        <x:v>0.06999999999999995</x:v>
      </x:c>
      <x:c r="E7" s="47" t="n">
        <x:f>MAX('Beam Calc'!$K$70:$K$130)/B7</x:f>
        <x:v>187.58294336445877</x:v>
      </x:c>
      <x:c r="F7" s="47" t="n">
        <x:f>('Beam Calc'!$L$65+'Beam Calc'!$N$65)/B7</x:f>
        <x:v>3.0074521152206226</x:v>
      </x:c>
      <x:c r="G7" s="47" t="n">
        <x:f>Buckling!$B$15*B7^3</x:f>
        <x:v>1.993209663609395</x:v>
      </x:c>
      <x:c r="H7" s="61"/>
      <x:c r="I7" s="61"/>
      <x:c r="J7" s="61"/>
      <x:c r="K7" s="17" t="str">
        <x:f>IF(OR(H7="",I7="",J7=""),"Analytical only",IF(AND(H7&lt;=Inputs!$B$43/1000000,I7&lt;=Inputs!$B$49,J7&gt;=Inputs!$B$76),"Pass screen","Investigate"))</x:f>
        <x:v>Analytical only</x:v>
      </x:c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15" hidden="0" customHeight="1">
      <x:c r="A8" s="17" t="str">
        <x:v>0.89 thickness case</x:v>
      </x:c>
      <x:c r="B8" s="58" t="n">
        <x:v>0.89</x:v>
      </x:c>
      <x:c r="C8" s="59" t="n">
        <x:f>Inputs!$B$52*B8</x:f>
        <x:v>10597.124181098929</x:v>
      </x:c>
      <x:c r="D8" s="60" t="n">
        <x:f>1-C8/Inputs!$B$52</x:f>
        <x:v>0.10999999999999988</x:v>
      </x:c>
      <x:c r="E8" s="47" t="n">
        <x:f>MAX('Beam Calc'!$K$70:$K$130)/B8</x:f>
        <x:v>196.01363744825468</x:v>
      </x:c>
      <x:c r="F8" s="47" t="n">
        <x:f>('Beam Calc'!$L$65+'Beam Calc'!$N$65)/B8</x:f>
        <x:v>3.1426185024215494</x:v>
      </x:c>
      <x:c r="G8" s="47" t="n">
        <x:f>Buckling!$B$15*B8^3</x:f>
        <x:v>1.7469245911268896</x:v>
      </x:c>
      <x:c r="H8" s="61" t="n">
        <x:v>230.46</x:v>
      </x:c>
      <x:c r="I8" s="61" t="n">
        <x:v>3.3068</x:v>
      </x:c>
      <x:c r="J8" s="61" t="n">
        <x:v>0.3562</x:v>
      </x:c>
      <x:c r="K8" s="17" t="str">
        <x:f>IF(OR(H8="",I8="",J8=""),"Analytical only",IF(AND(H8&lt;=Inputs!$B$43/1000000,I8&lt;=Inputs!$B$49,J8&gt;=Inputs!$B$76),"Pass screen","Investigate"))</x:f>
        <x:v>Investigate</x:v>
      </x:c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15" hidden="0" customHeight="1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15" hidden="0" customHeight="1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15" hidden="0" customHeight="1">
      <x:c r="A11" s="74" t="str">
        <x:v>Mass basis and solved results</x:v>
      </x:c>
      <x:c r="B11" s="75"/>
      <x:c r="C11" s="75"/>
      <x:c r="D11" s="75"/>
      <x:c r="E11" s="75"/>
      <x:c r="F11" s="75"/>
      <x:c r="G11" s="75"/>
      <x:c r="H11" s="75"/>
      <x:c r="I11" s="75"/>
      <x:c r="J11" s="75"/>
      <x:c r="K11" s="76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24" hidden="0" customHeight="1">
      <x:c r="A12" s="17" t="str">
        <x:v>Analytical shell-mass estimate</x:v>
      </x:c>
      <x:c r="B12" s="41" t="n">
        <x:f>Inputs!$B$52</x:f>
        <x:v>11906.881102358346</x:v>
      </x:c>
      <x:c r="C12" s="17" t="str">
        <x:v>kg</x:v>
      </x:c>
      <x:c r="D12" s="17" t="str">
        <x:v>Preliminary beam/load-model basis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15" hidden="0" customHeight="1">
      <x:c r="A13" s="17" t="str">
        <x:v>ANSYS baseline shell mass</x:v>
      </x:c>
      <x:c r="B13" s="41" t="n">
        <x:v>9679.1</x:v>
      </x:c>
      <x:c r="C13" s="17" t="str">
        <x:v>kg</x:v>
      </x:c>
      <x:c r="D13" s="17" t="str">
        <x:v>Solved shell model</x:v>
      </x:c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15" hidden="0" customHeight="1">
      <x:c r="A14" s="17" t="str">
        <x:v>ANSYS reduced-thickness mass</x:v>
      </x:c>
      <x:c r="B14" s="41" t="n">
        <x:v>8601</x:v>
      </x:c>
      <x:c r="C14" s="17" t="str">
        <x:v>kg</x:v>
      </x:c>
      <x:c r="D14" s="17" t="str">
        <x:v>Solved model, 0.89t</x:v>
      </x:c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36" hidden="0" customHeight="1">
      <x:c r="A15" s="17" t="str">
        <x:v>Solved ANSYS mass reduction</x:v>
      </x:c>
      <x:c r="B15" s="89" t="n">
        <x:f>1-B14/B13</x:f>
        <x:v>0.11138432292258582</x:v>
      </x:c>
      <x:c r="C15" s="17" t="str">
        <x:v>%</x:v>
      </x:c>
      <x:c r="D15" s="17" t="str">
        <x:v>1,078.1 kg saved</x:v>
      </x:c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15" hidden="0" customHeight="1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 ht="15" hidden="0" customHeight="1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15" hidden="0" customHeight="1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 ht="15" hidden="0" customHeight="1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 ht="15" hidden="0" customHeight="1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 ht="15" hidden="0" customHeight="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 ht="15" hidden="0" customHeight="1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 ht="15" hidden="0" customHeight="1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 ht="15" hidden="0" customHeight="1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 ht="15" hidden="0" customHeight="1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 ht="15" hidden="0" customHeight="1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 ht="15" hidden="0" customHeight="1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 ht="15" hidden="0" customHeight="1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 ht="15" hidden="0" customHeight="1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 ht="15" hidden="0" customHeight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 ht="15" hidden="0" customHeight="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 ht="15" hidden="0" customHeight="1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 ht="15" hidden="0" customHeight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 ht="15" hidden="0" customHeight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 ht="15" hidden="0" customHeight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 ht="15" hidden="0" customHeight="1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 ht="15" hidden="0" customHeight="1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 ht="15" hidden="0" customHeight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 ht="15" hidden="0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 ht="15" hidden="0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 ht="15" hidden="0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 ht="15" hidden="0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 ht="15" hidden="0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 ht="15" hidden="0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 ht="15" hidden="0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 ht="15" hidden="0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 ht="15" hidden="0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 ht="15" hidden="0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 ht="15" hidden="0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 ht="15" hidden="0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 ht="15" hidden="0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 ht="15" hidden="0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 ht="15" hidden="0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 ht="15" hidden="0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 ht="15" hidden="0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 ht="15" hidden="0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 ht="15" hidden="0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 ht="15" hidden="0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 ht="15" hidden="0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 ht="15" hidden="0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 ht="15" hidden="0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 ht="15" hidden="0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 ht="15" hidden="0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 ht="15" hidden="0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 ht="15" hidden="0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 ht="15" hidden="0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 ht="15" hidden="0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 ht="15" hidden="0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 ht="15" hidden="0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 ht="15" hidden="0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 ht="15" hidden="0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 ht="15" hidden="0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 ht="15" hidden="0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 ht="15" hidden="0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 ht="15" hidden="0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 ht="15" hidden="0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 ht="15" hidden="0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 ht="15" hidden="0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 ht="15" hidden="0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 ht="15" hidden="0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 ht="15" hidden="0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 ht="15" hidden="0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 ht="15" hidden="0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 ht="15" hidden="0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 ht="15" hidden="0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 ht="15" hidden="0" customHeight="1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 ht="15" hidden="0" customHeight="1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 ht="15" hidden="0" customHeight="1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 ht="15" hidden="0" customHeight="1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 ht="15" hidden="0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 ht="15" hidden="0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 ht="15" hidden="0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 ht="15" hidden="0" customHeight="1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 ht="15" hidden="0" customHeight="1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 ht="15" hidden="0" customHeight="1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 ht="15" hidden="0" customHeight="1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 ht="15" hidden="0" customHeight="1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 ht="15" hidden="0" customHeight="1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 ht="15" hidden="0" customHeight="1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 ht="15" hidden="0" customHeight="1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 ht="15" hidden="0" customHeight="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 ht="15" hidden="0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 ht="15" hidden="0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 ht="15" hidden="0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 ht="15" hidden="0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 ht="15" hidden="0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 ht="15" hidden="0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 ht="15" hidden="0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 ht="15" hidden="0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 ht="15" hidden="0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 ht="15" hidden="0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 ht="15" hidden="0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 ht="15" hidden="0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 ht="15" hidden="0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 ht="15" hidden="0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 ht="15" hidden="0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 ht="15" hidden="0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 ht="15" hidden="0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 ht="15" hidden="0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 ht="15" hidden="0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 ht="15" hidden="0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 ht="15" hidden="0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 ht="15" hidden="0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 ht="15" hidden="0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 ht="15" hidden="0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 ht="15" hidden="0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 ht="15" hidden="0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 ht="15" hidden="0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 ht="15" hidden="0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 ht="15" hidden="0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 ht="15" hidden="0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 ht="15" hidden="0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 ht="15" hidden="0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 ht="15" hidden="0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 ht="15" hidden="0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 ht="15" hidden="0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 ht="15" hidden="0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 ht="15" hidden="0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 ht="15" hidden="0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 ht="15" hidden="0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 ht="15" hidden="0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 ht="15" hidden="0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 ht="15" hidden="0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 ht="15" hidden="0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 ht="15" hidden="0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 ht="15" hidden="0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 ht="15" hidden="0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 ht="15" hidden="0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 ht="15" hidden="0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 ht="15" hidden="0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 ht="15" hidden="0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 ht="15" hidden="0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 ht="15" hidden="0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 ht="15" hidden="0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 ht="15" hidden="0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 ht="15" hidden="0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 ht="15" hidden="0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 ht="15" hidden="0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 ht="15" hidden="0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 ht="15" hidden="0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 ht="15" hidden="0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 ht="15" hidden="0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 ht="15" hidden="0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 ht="15" hidden="0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 ht="15" hidden="0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 ht="15" hidden="0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 ht="15" hidden="0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 ht="15" hidden="0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 ht="15" hidden="0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 ht="15" hidden="0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 ht="15" hidden="0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 ht="15" hidden="0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 ht="15" hidden="0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 ht="15" hidden="0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 ht="15" hidden="0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 ht="15" hidden="0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 ht="15" hidden="0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 ht="15" hidden="0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 ht="15" hidden="0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 ht="15" hidden="0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 ht="15" hidden="0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 ht="15" hidden="0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 ht="15" hidden="0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 ht="15" hidden="0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 ht="15" hidden="0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 ht="15" hidden="0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 ht="15" hidden="0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 ht="15" hidden="0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 ht="15" hidden="0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 ht="15" hidden="0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 ht="15" hidden="0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 ht="15" hidden="0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 ht="15" hidden="0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 ht="15" hidden="0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 ht="15" hidden="0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 ht="15" hidden="0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 ht="15" hidden="0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 ht="15" hidden="0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 ht="15" hidden="0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 ht="15" hidden="0" customHeight="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 ht="15" hidden="0" customHeight="1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 ht="15" hidden="0" customHeight="1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 ht="15" hidden="0" customHeight="1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 ht="15" hidden="0" customHeight="1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 ht="15" hidden="0" customHeight="1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 ht="15" hidden="0" customHeight="1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 ht="15" hidden="0" customHeight="1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 ht="15" hidden="0" customHeight="1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 ht="15" hidden="0" customHeight="1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 ht="15" hidden="0" customHeight="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 ht="15" hidden="0" customHeight="1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 ht="15" hidden="0" customHeight="1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 ht="15" hidden="0" customHeight="1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 ht="15" hidden="0" customHeight="1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 ht="15" hidden="0" customHeight="1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 ht="15" hidden="0" customHeight="1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 ht="15" hidden="0" customHeight="1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 ht="15" hidden="0" customHeight="1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 ht="15" hidden="0" customHeight="1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</x:sheetData>
  <x:mergeCells>
    <x:mergeCell ref="A1:K1"/>
    <x:mergeCell ref="A2:K2"/>
    <x:mergeCell ref="A11:K11"/>
  </x:mergeCells>
  <x:conditionalFormatting sqref="K5:K8">
    <x:cfRule type="containsText" dxfId="21" priority="1" operator="containsText" text="Pass"/>
    <x:cfRule type="containsText" dxfId="22" priority="2" operator="containsText" text="Within"/>
    <x:cfRule type="containsText" dxfId="23" priority="3" operator="containsText" text="Investigate"/>
    <x:cfRule type="containsText" dxfId="24" priority="4" operator="containsText" text="Outside"/>
    <x:cfRule type="containsText" dxfId="25" priority="5" operator="containsText" text="Missing"/>
    <x:cfRule type="containsText" dxfId="26" priority="6" operator="containsText" text="Run ANSYS"/>
    <x:cfRule type="containsText" dxfId="27" priority="7" operator="containsText" text="Screening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22" hidden="0" customWidth="1"/>
    <x:col min="6" max="6" width="54" hidden="0" customWidth="1"/>
  </x:cols>
  <x:sheetData>
    <x:row r="1" ht="32" hidden="0" customHeight="1">
      <x:c r="A1" s="73" t="str">
        <x:v>Calculation audit</x:v>
      </x:c>
      <x:c r="B1" s="73"/>
      <x:c r="C1" s="73"/>
      <x:c r="D1" s="73"/>
      <x:c r="E1" s="73"/>
      <x:c r="F1" s="73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 ht="32" hidden="0" customHeight="1">
      <x:c r="A2" s="7" t="str">
        <x:v>These checks are terminal diagnostics. They do not feed the calculations or summary.</x:v>
      </x:c>
      <x:c r="B2" s="7"/>
      <x:c r="C2" s="7"/>
      <x:c r="D2" s="7"/>
      <x:c r="E2" s="7"/>
      <x:c r="F2" s="7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 ht="15" hidden="0" customHeight="1">
      <x:c r="A3" s="38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 ht="15" hidden="0" customHeight="1">
      <x:c r="A4" s="12" t="str">
        <x:v>Check</x:v>
      </x:c>
      <x:c r="B4" s="12" t="str">
        <x:v>Calculated</x:v>
      </x:c>
      <x:c r="C4" s="12" t="str">
        <x:v>Reference</x:v>
      </x:c>
      <x:c r="D4" s="12" t="str">
        <x:v>Difference</x:v>
      </x:c>
      <x:c r="E4" s="12" t="str">
        <x:v>Status</x:v>
      </x:c>
      <x:c r="F4" s="12" t="str">
        <x:v>Action</x:v>
      </x:c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 ht="15" hidden="0" customHeight="1">
      <x:c r="A5" s="17" t="str">
        <x:v>aerodynamic</x:v>
      </x:c>
      <x:c r="B5" s="71" t="n">
        <x:v>967010.71830914</x:v>
      </x:c>
      <x:c r="C5" s="71" t="n">
        <x:v>13798825.43711845</x:v>
      </x:c>
      <x:c r="D5" s="71" t="n">
        <x:v>0</x:v>
      </x:c>
      <x:c r="E5" s="17" t="str">
        <x:v>Component</x:v>
      </x:c>
      <x:c r="F5" s="17" t="str">
        <x:v>13,586 source points</x:v>
      </x:c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 ht="15" hidden="0" customHeight="1">
      <x:c r="A6" s="17" t="str">
        <x:v>wingbox gravity</x:v>
      </x:c>
      <x:c r="B6" s="71" t="n">
        <x:v>-117312.89019049755</x:v>
      </x:c>
      <x:c r="C6" s="71" t="n">
        <x:v>-963683.4100155352</x:v>
      </x:c>
      <x:c r="D6" s="71" t="n">
        <x:v>11958.500529102705</x:v>
      </x:c>
      <x:c r="E6" s="17" t="str">
        <x:v>Component</x:v>
      </x:c>
      <x:c r="F6" s="17" t="str">
        <x:v>25,055 source points</x:v>
      </x:c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 ht="15" hidden="0" customHeight="1">
      <x:c r="A7" s="17" t="str">
        <x:v>LE/TE gravity</x:v>
      </x:c>
      <x:c r="B7" s="71" t="n">
        <x:v>-35992.89</x:v>
      </x:c>
      <x:c r="C7" s="71" t="n">
        <x:v>-375818.7339612297</x:v>
      </x:c>
      <x:c r="D7" s="71" t="n">
        <x:v>3669</x:v>
      </x:c>
      <x:c r="E7" s="17" t="str">
        <x:v>Component</x:v>
      </x:c>
      <x:c r="F7" s="17" t="str">
        <x:v>18 source points</x:v>
      </x:c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 ht="15" hidden="0" customHeight="1">
      <x:c r="A8" s="17" t="str">
        <x:v>engine gravity</x:v>
      </x:c>
      <x:c r="B8" s="71" t="n">
        <x:v>-73584.81</x:v>
      </x:c>
      <x:c r="C8" s="71" t="n">
        <x:v>-815687.6371726176</x:v>
      </x:c>
      <x:c r="D8" s="71" t="n">
        <x:v>7501</x:v>
      </x:c>
      <x:c r="E8" s="17" t="str">
        <x:v>Component</x:v>
      </x:c>
      <x:c r="F8" s="17" t="str">
        <x:v>13 source points</x:v>
      </x:c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 ht="15" hidden="0" customHeight="1">
      <x:c r="A9" s="17" t="str">
        <x:v>20% fuel gravity</x:v>
      </x:c>
      <x:c r="B9" s="71" t="n">
        <x:v>-107910.01962</x:v>
      </x:c>
      <x:c r="C9" s="71" t="n">
        <x:v>-740191.6459603071</x:v>
      </x:c>
      <x:c r="D9" s="71" t="n">
        <x:v>11000.002</x:v>
      </x:c>
      <x:c r="E9" s="17" t="str">
        <x:v>Component</x:v>
      </x:c>
      <x:c r="F9" s="17" t="str">
        <x:v>43 source points</x:v>
      </x:c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 ht="15" hidden="0" customHeight="1">
      <x:c r="A10" s="38"/>
      <x:c r="B10" s="78"/>
      <x:c r="C10" s="78"/>
      <x:c r="D10" s="7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 ht="15" hidden="0" customHeight="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 ht="15" hidden="0" customHeight="1">
      <x:c r="A12" s="12" t="str">
        <x:v>Reconciliation / comparison</x:v>
      </x:c>
      <x:c r="B12" s="12" t="str">
        <x:v>Calculated</x:v>
      </x:c>
      <x:c r="C12" s="12" t="str">
        <x:v>Reference</x:v>
      </x:c>
      <x:c r="D12" s="12" t="str">
        <x:v>Difference</x:v>
      </x:c>
      <x:c r="E12" s="12" t="str">
        <x:v>Status</x:v>
      </x:c>
      <x:c r="F12" s="12" t="str">
        <x:v>Action</x:v>
      </x:c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 ht="15" hidden="0" customHeight="1">
      <x:c r="A13" s="17" t="str">
        <x:v>Component vertical-force sum</x:v>
      </x:c>
      <x:c r="B13" s="71" t="n">
        <x:f>SUM(B5:B9)</x:f>
        <x:v>632210.1084986423</x:v>
      </x:c>
      <x:c r="C13" s="71" t="n">
        <x:f>'Beam Calc'!$F$5*1000</x:f>
        <x:v>632210.1084986425</x:v>
      </x:c>
      <x:c r="D13" s="71" t="n">
        <x:f>B13-C13</x:f>
        <x:v>-1.1641532182693481e-10</x:v>
      </x:c>
      <x:c r="E13" s="17" t="str">
        <x:f>IF(ABS(D13)&lt;1,"Pass","Investigate")</x:f>
        <x:v>Pass</x:v>
      </x:c>
      <x:c r="F13" s="17" t="str">
        <x:v>Should equal net applied vertical load</x:v>
      </x:c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 ht="15" hidden="0" customHeight="1">
      <x:c r="A14" s="17" t="str">
        <x:v>Mass build-up</x:v>
      </x:c>
      <x:c r="B14" s="71" t="n">
        <x:f>SUM(Inputs!$B$52:$B$55)</x:f>
        <x:v>34076.88310235835</x:v>
      </x:c>
      <x:c r="C14" s="71" t="n">
        <x:f>Inputs!$B$56</x:f>
        <x:v>34076.88310235835</x:v>
      </x:c>
      <x:c r="D14" s="71" t="n">
        <x:f>B14-C14</x:f>
        <x:v>0</x:v>
      </x:c>
      <x:c r="E14" s="17" t="str">
        <x:f>IF(ABS(D14)&lt;0.01,"Pass","Investigate")</x:f>
        <x:v>Pass</x:v>
      </x:c>
      <x:c r="F14" s="17" t="str">
        <x:v>Should equal total included mass</x:v>
      </x:c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 ht="15" hidden="0" customHeight="1">
      <x:c r="A15" s="17" t="str">
        <x:v>Lift equation versus aerodynamic deck</x:v>
      </x:c>
      <x:c r="B15" s="71" t="n">
        <x:f>Inputs!$B$34</x:f>
        <x:v>967010.71830914</x:v>
      </x:c>
      <x:c r="C15" s="71" t="n">
        <x:f>Inputs!$B$33</x:f>
        <x:v>1051055.6795310858</x:v>
      </x:c>
      <x:c r="D15" s="65" t="n">
        <x:f>ABS(B15-C15)/C15</x:f>
        <x:v>0.07996242526318048</x:v>
      </x:c>
      <x:c r="E15" s="17" t="str">
        <x:f>IF(D15&lt;=Inputs!$B$36,"Within 8%","Outside 8%")</x:f>
        <x:v>Within 8%</x:v>
      </x:c>
      <x:c r="F15" s="17" t="str">
        <x:v>Valid aerodynamic sanity check</x:v>
      </x:c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 ht="15" hidden="0" customHeight="1">
      <x:c r="A16" s="17" t="str">
        <x:v>ANSYS root vertical reaction</x:v>
      </x:c>
      <x:c r="B16" s="71" t="n">
        <x:f>-'Beam Calc'!$F$5*1000</x:f>
        <x:v>-632210.1084986425</x:v>
      </x:c>
      <x:c r="C16" s="71" t="n">
        <x:f>Inputs!$B$64</x:f>
        <x:v>0</x:v>
      </x:c>
      <x:c r="D16" s="65" t="str">
        <x:f>IF(Inputs!$B$64="","",ABS(B16-C16)/ABS(B16))</x:f>
      </x:c>
      <x:c r="E16" s="17" t="str">
        <x:f>IF(Inputs!$B$64="","Optional check",IF(D16&lt;=Inputs!$B$48,"Pass","Investigate"))</x:f>
        <x:v>Optional check</x:v>
      </x:c>
      <x:c r="F16" s="17" t="str">
        <x:v>Not required for the completed deformation correlation</x:v>
      </x:c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 ht="15" hidden="0" customHeight="1">
      <x:c r="A17" s="17" t="str">
        <x:v>ANSYS root bending moment</x:v>
      </x:c>
      <x:c r="B17" s="71" t="n">
        <x:f>-'Beam Calc'!$G$5*1000000</x:f>
        <x:v>-10846390.093579268</x:v>
      </x:c>
      <x:c r="C17" s="71" t="n">
        <x:f>Inputs!$B$65</x:f>
        <x:v>0</x:v>
      </x:c>
      <x:c r="D17" s="65" t="str">
        <x:f>IF(Inputs!$B$65="","",ABS(B17-C17)/ABS(B17))</x:f>
      </x:c>
      <x:c r="E17" s="17" t="str">
        <x:f>IF(Inputs!$B$65="","Optional check",IF(D17&lt;=Inputs!$B$48,"Pass","Investigate"))</x:f>
        <x:v>Optional check</x:v>
      </x:c>
      <x:c r="F17" s="17" t="str">
        <x:v>Not required for the completed deformation correlation</x:v>
      </x:c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 ht="15" hidden="0" customHeight="1">
      <x:c r="A18" s="17" t="str">
        <x:v>Corrected beam versus ANSYS deformation</x:v>
      </x:c>
      <x:c r="B18" s="71" t="n">
        <x:f>'Beam Calc'!$L$65+'Beam Calc'!$N$65</x:f>
        <x:v>2.796930467155179</x:v>
      </x:c>
      <x:c r="C18" s="71" t="n">
        <x:f>Inputs!$B$62</x:f>
        <x:v>2.9277</x:v>
      </x:c>
      <x:c r="D18" s="65" t="n">
        <x:f>ABS(B18-C18)/B18</x:f>
        <x:v>0.04675465993183223</x:v>
      </x:c>
      <x:c r="E18" s="17" t="str">
        <x:f>IF(D18&lt;=Inputs!$B$48,"Pass","Investigate")</x:f>
        <x:v>Pass</x:v>
      </x:c>
      <x:c r="F18" s="17" t="str">
        <x:v>Same material, swept path, bending and web shear</x:v>
      </x:c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 ht="15" hidden="0" customHeight="1">
      <x:c r="A19" s="17" t="str">
        <x:v>Beam nominal versus ANSYS peak stress</x:v>
      </x:c>
      <x:c r="B19" s="71" t="n">
        <x:f>MAX('Beam Calc'!$K$70:$K$130)</x:f>
        <x:v>174.45213732894666</x:v>
      </x:c>
      <x:c r="C19" s="71" t="n">
        <x:f>Inputs!$B$63/1000000</x:f>
        <x:v>201.87</x:v>
      </x:c>
      <x:c r="D19" s="65" t="n">
        <x:f>ABS(B19-C19)/B19</x:f>
        <x:v>0.1571655302758158</x:v>
      </x:c>
      <x:c r="E19" s="17" t="str">
        <x:v>Reference only</x:v>
      </x:c>
      <x:c r="F19" s="17" t="str">
        <x:v>Peak and nominal stress are not the same output quantity</x:v>
      </x:c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 ht="15" hidden="0" customHeight="1">
      <x:c r="A20" s="17" t="str">
        <x:v>Published coarse-to-medium tip change</x:v>
      </x:c>
      <x:c r="B20" s="17" t="n">
        <x:f>Inputs!$B$66</x:f>
        <x:v>2.591</x:v>
      </x:c>
      <x:c r="C20" s="17" t="n">
        <x:f>Inputs!$B$67</x:f>
        <x:v>2.592</x:v>
      </x:c>
      <x:c r="D20" s="65" t="n">
        <x:f>ABS(C20-B20)/B20</x:f>
        <x:v>0.0003859513701273214</x:v>
      </x:c>
      <x:c r="E20" s="17" t="str">
        <x:f>IF(D20&lt;0.01,"Pass","Investigate")</x:f>
        <x:v>Pass</x:v>
      </x:c>
      <x:c r="F20" s="17" t="str">
        <x:v>Reference grid study</x:v>
      </x:c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 ht="15" hidden="0" customHeight="1">
      <x:c r="A21" s="17" t="str">
        <x:v>Published medium-to-fine tip change</x:v>
      </x:c>
      <x:c r="B21" s="17" t="n">
        <x:f>Inputs!$B$67</x:f>
        <x:v>2.592</x:v>
      </x:c>
      <x:c r="C21" s="17" t="n">
        <x:f>Inputs!$B$68</x:f>
        <x:v>2.594</x:v>
      </x:c>
      <x:c r="D21" s="65" t="n">
        <x:f>ABS(C21-B21)/B21</x:f>
        <x:v>0.0007716049382715199</x:v>
      </x:c>
      <x:c r="E21" s="17" t="str">
        <x:f>IF(D21&lt;0.01,"Pass","Investigate")</x:f>
        <x:v>Pass</x:v>
      </x:c>
      <x:c r="F21" s="17" t="str">
        <x:v>Reference grid study</x:v>
      </x:c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 ht="15" hidden="0" customHeight="1">
      <x:c r="A22" s="17" t="str">
        <x:v>Current ANSYS versus published coarse</x:v>
      </x:c>
      <x:c r="B22" s="17" t="n">
        <x:f>Inputs!$B$62</x:f>
        <x:v>2.9277</x:v>
      </x:c>
      <x:c r="C22" s="17" t="n">
        <x:f>Inputs!$B$66</x:f>
        <x:v>2.591</x:v>
      </x:c>
      <x:c r="D22" s="65" t="n">
        <x:f>ABS(B22-C22)/C22</x:f>
        <x:v>0.12994982632188343</x:v>
      </x:c>
      <x:c r="E22" s="17" t="str">
        <x:v>Reference only</x:v>
      </x:c>
      <x:c r="F22" s="17" t="str">
        <x:v>Not necessarily like-for-like</x:v>
      </x:c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 ht="15" hidden="0" customHeight="1">
      <x:c r="A23" s="17" t="str">
        <x:v>Deformation correlation gate</x:v>
      </x:c>
      <x:c r="B23" s="17" t="n">
        <x:f>D18</x:f>
        <x:v>0.04675465993183223</x:v>
      </x:c>
      <x:c r="C23" s="17" t="n">
        <x:f>Inputs!$B$48</x:f>
        <x:v>0.08</x:v>
      </x:c>
      <x:c r="D23" s="65" t="n">
        <x:f>B23-C23</x:f>
        <x:v>-0.03324534006816777</x:v>
      </x:c>
      <x:c r="E23" s="17" t="str">
        <x:f>IF(B23&lt;=C23,"Pass","Investigate")</x:f>
        <x:v>Pass</x:v>
      </x:c>
      <x:c r="F23" s="17" t="str">
        <x:v>Uses the fixed ANSYS result and corrected analytical deformation</x:v>
      </x:c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 ht="15" hidden="0" customHeight="1">
      <x:c r="A24" s="17" t="str">
        <x:v>Fatigue data gate</x:v>
      </x:c>
      <x:c r="B24" s="17" t="str">
        <x:v>Generic screening inputs</x:v>
      </x:c>
      <x:c r="C24" s="17" t="str">
        <x:v>Alloy-specific test data</x:v>
      </x:c>
      <x:c r="D24" s="17"/>
      <x:c r="E24" s="17" t="str">
        <x:v>Screening only</x:v>
      </x:c>
      <x:c r="F24" s="17" t="str">
        <x:v>Replace screening constants with selected alloy/spectrum data</x:v>
      </x:c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 ht="15" hidden="0" customHeight="1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 ht="15" hidden="0" customHeight="1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 ht="15" hidden="0" customHeight="1">
      <x:c r="A27" s="12" t="str">
        <x:v>Span ratio η</x:v>
      </x:c>
      <x:c r="B27" s="12" t="str">
        <x:v>Total deflection (m)</x:v>
      </x:c>
      <x:c r="C27" s="12" t="str">
        <x:v>Bending moment (MN·m)</x:v>
      </x:c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 ht="15" hidden="0" customHeight="1">
      <x:c r="A28" s="66" t="str">
        <x:v>0.0</x:v>
      </x:c>
      <x:c r="B28" s="39" t="n">
        <x:f>'Beam Calc'!L5+'Beam Calc'!N5</x:f>
        <x:v>0</x:v>
      </x:c>
      <x:c r="C28" s="39" t="n">
        <x:f>'Beam Calc'!G5</x:f>
        <x:v>10.846390093579268</x:v>
      </x:c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 ht="15" hidden="0" customHeight="1">
      <x:c r="A29" s="66" t="str">
        <x:v>0.1</x:v>
      </x:c>
      <x:c r="B29" s="39" t="n">
        <x:f>'Beam Calc'!L11+'Beam Calc'!N11</x:f>
        <x:v>0.009803880189311023</x:v>
      </x:c>
      <x:c r="C29" s="39" t="n">
        <x:f>'Beam Calc'!G11</x:f>
        <x:v>9.148706023725717</x:v>
      </x:c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 ht="15" hidden="0" customHeight="1">
      <x:c r="A30" s="66" t="str">
        <x:v>0.2</x:v>
      </x:c>
      <x:c r="B30" s="39" t="n">
        <x:f>'Beam Calc'!L17+'Beam Calc'!N17</x:f>
        <x:v>0.03995281977816808</x:v>
      </x:c>
      <x:c r="C30" s="39" t="n">
        <x:f>'Beam Calc'!G17</x:f>
        <x:v>7.0795232932736605</x:v>
      </x:c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 ht="15" hidden="0" customHeight="1">
      <x:c r="A31" s="66" t="str">
        <x:v>0.3</x:v>
      </x:c>
      <x:c r="B31" s="39" t="n">
        <x:f>'Beam Calc'!L23+'Beam Calc'!N23</x:f>
        <x:v>0.10782228997455005</x:v>
      </x:c>
      <x:c r="C31" s="39" t="n">
        <x:f>'Beam Calc'!G23</x:f>
        <x:v>5.296944397026529</x:v>
      </x:c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 ht="15" hidden="0" customHeight="1">
      <x:c r="A32" s="66" t="str">
        <x:v>0.4</x:v>
      </x:c>
      <x:c r="B32" s="39" t="n">
        <x:f>'Beam Calc'!L29+'Beam Calc'!N29</x:f>
        <x:v>0.2307474983473035</x:v>
      </x:c>
      <x:c r="C32" s="39" t="n">
        <x:f>'Beam Calc'!G29</x:f>
        <x:v>3.7860066972853126</x:v>
      </x:c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 ht="15" hidden="0" customHeight="1">
      <x:c r="A33" s="66" t="str">
        <x:v>0.5</x:v>
      </x:c>
      <x:c r="B33" s="39" t="n">
        <x:f>'Beam Calc'!L35+'Beam Calc'!N35</x:f>
        <x:v>0.4314176257347815</x:v>
      </x:c>
      <x:c r="C33" s="39" t="n">
        <x:f>'Beam Calc'!G35</x:f>
        <x:v>2.4535623258630666</x:v>
      </x:c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 ht="15" hidden="0" customHeight="1">
      <x:c r="A34" s="66" t="str">
        <x:v>0.6</x:v>
      </x:c>
      <x:c r="B34" s="39" t="n">
        <x:f>'Beam Calc'!L41+'Beam Calc'!N41</x:f>
        <x:v>0.7231492220292384</x:v>
      </x:c>
      <x:c r="C34" s="39" t="n">
        <x:f>'Beam Calc'!G41</x:f>
        <x:v>1.4214548856319245</x:v>
      </x:c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 ht="15" hidden="0" customHeight="1">
      <x:c r="A35" s="66" t="str">
        <x:v>0.7</x:v>
      </x:c>
      <x:c r="B35" s="39" t="n">
        <x:f>'Beam Calc'!L47+'Beam Calc'!N47</x:f>
        <x:v>1.1211601895019032</x:v>
      </x:c>
      <x:c r="C35" s="39" t="n">
        <x:f>'Beam Calc'!G47</x:f>
        <x:v>0.6940012968784784</x:v>
      </x:c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 ht="15" hidden="0" customHeight="1">
      <x:c r="A36" s="66" t="str">
        <x:v>0.8</x:v>
      </x:c>
      <x:c r="B36" s="39" t="n">
        <x:f>'Beam Calc'!L53+'Beam Calc'!N53</x:f>
        <x:v>1.6327189343222945</x:v>
      </x:c>
      <x:c r="C36" s="39" t="n">
        <x:f>'Beam Calc'!G53</x:f>
        <x:v>0.24670836615808095</x:v>
      </x:c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 ht="15" hidden="0" customHeight="1">
      <x:c r="A37" s="66" t="str">
        <x:v>0.9</x:v>
      </x:c>
      <x:c r="B37" s="39" t="n">
        <x:f>'Beam Calc'!L59+'Beam Calc'!N59</x:f>
        <x:v>2.2436611198850294</x:v>
      </x:c>
      <x:c r="C37" s="39" t="n">
        <x:f>'Beam Calc'!G59</x:f>
        <x:v>0.03763198032260938</x:v>
      </x:c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 ht="15" hidden="0" customHeight="1">
      <x:c r="A38" s="66" t="str">
        <x:v>1.0</x:v>
      </x:c>
      <x:c r="B38" s="39" t="n">
        <x:f>'Beam Calc'!L65+'Beam Calc'!N65</x:f>
        <x:v>2.796930467155179</x:v>
      </x:c>
      <x:c r="C38" s="39" t="n">
        <x:f>'Beam Calc'!G65</x:f>
        <x:v>0</x:v>
      </x:c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 ht="15" hidden="0" customHeight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 ht="15" hidden="0" customHeight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 ht="15" hidden="0" customHeight="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 ht="15" hidden="0" customHeight="1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 ht="15" hidden="0" customHeight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 ht="15" hidden="0" customHeight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 ht="15" hidden="0" customHeight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 ht="15" hidden="0" customHeight="1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 ht="15" hidden="0" customHeight="1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 ht="15" hidden="0" customHeight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 ht="15" hidden="0" customHeight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 ht="15" hidden="0" customHeight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 ht="15" hidden="0" customHeight="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 ht="15" hidden="0" customHeight="1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 ht="15" hidden="0" customHeight="1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 ht="15" hidden="0" customHeight="1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 ht="15" hidden="0" customHeight="1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 ht="15" hidden="0" customHeight="1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 ht="15" hidden="0" customHeight="1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 ht="15" hidden="0" customHeight="1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 ht="15" hidden="0" customHeight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 ht="15" hidden="0" customHeight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 ht="15" hidden="0" customHeight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 ht="15" hidden="0" customHeight="1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 ht="15" hidden="0" customHeight="1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 ht="15" hidden="0" customHeight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 ht="15" hidden="0" customHeight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 ht="15" hidden="0" customHeight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 ht="15" hidden="0" customHeight="1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 ht="15" hidden="0" customHeight="1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 ht="15" hidden="0" customHeight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 ht="15" hidden="0" customHeight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 ht="15" hidden="0" customHeight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 ht="15" hidden="0" customHeight="1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 ht="15" hidden="0" customHeight="1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 ht="15" hidden="0" customHeight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 ht="15" hidden="0" customHeight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 ht="15" hidden="0" customHeight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 ht="15" hidden="0" customHeight="1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 ht="15" hidden="0" customHeight="1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 ht="15" hidden="0" customHeight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 ht="15" hidden="0" customHeight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 ht="15" hidden="0" customHeight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 ht="15" hidden="0" customHeight="1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 ht="15" hidden="0" customHeight="1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 ht="15" hidden="0" customHeight="1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 ht="15" hidden="0" customHeight="1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 ht="15" hidden="0" customHeight="1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 ht="15" hidden="0" customHeight="1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 ht="15" hidden="0" customHeight="1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 ht="15" hidden="0" customHeight="1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 ht="15" hidden="0" customHeight="1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 ht="15" hidden="0" customHeight="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 ht="15" hidden="0" customHeight="1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 ht="15" hidden="0" customHeight="1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 ht="15" hidden="0" customHeight="1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 ht="15" hidden="0" customHeight="1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 ht="15" hidden="0" customHeight="1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 ht="15" hidden="0" customHeight="1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 ht="15" hidden="0" customHeight="1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 ht="15" hidden="0" customHeight="1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 ht="15" hidden="0" customHeight="1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 ht="15" hidden="0" customHeight="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 ht="15" hidden="0" customHeight="1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 ht="15" hidden="0" customHeight="1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 ht="15" hidden="0" customHeight="1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 ht="15" hidden="0" customHeight="1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 ht="15" hidden="0" customHeight="1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 ht="15" hidden="0" customHeight="1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 ht="15" hidden="0" customHeight="1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 ht="15" hidden="0" customHeight="1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 ht="15" hidden="0" customHeight="1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 ht="15" hidden="0" customHeight="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 ht="15" hidden="0" customHeight="1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 ht="15" hidden="0" customHeight="1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 ht="15" hidden="0" customHeight="1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 ht="15" hidden="0" customHeight="1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 ht="15" hidden="0" customHeight="1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 ht="15" hidden="0" customHeight="1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 ht="15" hidden="0" customHeight="1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 ht="15" hidden="0" customHeight="1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 ht="15" hidden="0" customHeight="1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 ht="15" hidden="0" customHeight="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 ht="15" hidden="0" customHeight="1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 ht="15" hidden="0" customHeight="1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 ht="15" hidden="0" customHeight="1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 ht="15" hidden="0" customHeight="1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 ht="15" hidden="0" customHeight="1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 ht="15" hidden="0" customHeight="1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 ht="15" hidden="0" customHeight="1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 ht="15" hidden="0" customHeight="1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 ht="15" hidden="0" customHeight="1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 ht="15" hidden="0" customHeight="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 ht="15" hidden="0" customHeight="1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 ht="15" hidden="0" customHeight="1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 ht="15" hidden="0" customHeight="1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 ht="15" hidden="0" customHeight="1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 ht="15" hidden="0" customHeight="1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 ht="15" hidden="0" customHeight="1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 ht="15" hidden="0" customHeight="1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 ht="15" hidden="0" customHeight="1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 ht="15" hidden="0" customHeight="1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 ht="15" hidden="0" customHeight="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 ht="15" hidden="0" customHeight="1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 ht="15" hidden="0" customHeight="1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 ht="15" hidden="0" customHeight="1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 ht="15" hidden="0" customHeight="1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 ht="15" hidden="0" customHeight="1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 ht="15" hidden="0" customHeight="1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 ht="15" hidden="0" customHeight="1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 ht="15" hidden="0" customHeight="1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 ht="15" hidden="0" customHeight="1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 ht="15" hidden="0" customHeight="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 ht="15" hidden="0" customHeight="1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 ht="15" hidden="0" customHeight="1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 ht="15" hidden="0" customHeight="1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 ht="15" hidden="0" customHeight="1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 ht="15" hidden="0" customHeight="1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 ht="15" hidden="0" customHeight="1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 ht="15" hidden="0" customHeight="1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 ht="15" hidden="0" customHeight="1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 ht="15" hidden="0" customHeight="1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 ht="15" hidden="0" customHeight="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 ht="15" hidden="0" customHeight="1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 ht="15" hidden="0" customHeight="1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 ht="15" hidden="0" customHeight="1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 ht="15" hidden="0" customHeight="1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 ht="15" hidden="0" customHeight="1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 ht="15" hidden="0" customHeight="1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 ht="15" hidden="0" customHeight="1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 ht="15" hidden="0" customHeight="1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 ht="15" hidden="0" customHeight="1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 ht="15" hidden="0" customHeight="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 ht="15" hidden="0" customHeight="1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 ht="15" hidden="0" customHeight="1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 ht="15" hidden="0" customHeight="1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 ht="15" hidden="0" customHeight="1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 ht="15" hidden="0" customHeight="1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 ht="15" hidden="0" customHeight="1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 ht="15" hidden="0" customHeight="1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 ht="15" hidden="0" customHeight="1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 ht="15" hidden="0" customHeight="1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 ht="15" hidden="0" customHeight="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 ht="15" hidden="0" customHeight="1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 ht="15" hidden="0" customHeight="1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 ht="15" hidden="0" customHeight="1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 ht="15" hidden="0" customHeight="1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 ht="15" hidden="0" customHeight="1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 ht="15" hidden="0" customHeight="1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 ht="15" hidden="0" customHeight="1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 ht="15" hidden="0" customHeight="1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 ht="15" hidden="0" customHeight="1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 ht="15" hidden="0" customHeight="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 ht="15" hidden="0" customHeight="1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 ht="15" hidden="0" customHeight="1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 ht="15" hidden="0" customHeight="1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 ht="15" hidden="0" customHeight="1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 ht="15" hidden="0" customHeight="1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 ht="15" hidden="0" customHeight="1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 ht="15" hidden="0" customHeight="1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 ht="15" hidden="0" customHeight="1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 ht="15" hidden="0" customHeight="1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 ht="15" hidden="0" customHeight="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 ht="15" hidden="0" customHeight="1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 ht="15" hidden="0" customHeight="1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 ht="15" hidden="0" customHeight="1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 ht="15" hidden="0" customHeight="1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 ht="15" hidden="0" customHeight="1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 ht="15" hidden="0" customHeight="1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 ht="15" hidden="0" customHeight="1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 ht="15" hidden="0" customHeight="1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 ht="15" hidden="0" customHeight="1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 ht="15" hidden="0" customHeight="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 ht="15" hidden="0" customHeight="1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 ht="15" hidden="0" customHeight="1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 ht="15" hidden="0" customHeight="1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 ht="15" hidden="0" customHeight="1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 ht="15" hidden="0" customHeight="1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 ht="15" hidden="0" customHeight="1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 ht="15" hidden="0" customHeight="1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 ht="15" hidden="0" customHeight="1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 ht="15" hidden="0" customHeight="1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</x:sheetData>
  <x:mergeCells>
    <x:mergeCell ref="A1:F1"/>
    <x:mergeCell ref="A2:F2"/>
  </x:mergeCells>
  <x:conditionalFormatting sqref="E13:E24">
    <x:cfRule type="containsText" dxfId="35" priority="1" operator="containsText" text="Pass"/>
    <x:cfRule type="containsText" dxfId="36" priority="2" operator="containsText" text="Within"/>
    <x:cfRule type="containsText" dxfId="37" priority="3" operator="containsText" text="Investigate"/>
    <x:cfRule type="containsText" dxfId="38" priority="4" operator="containsText" text="Outside"/>
    <x:cfRule type="containsText" dxfId="39" priority="5" operator="containsText" text="Missing"/>
    <x:cfRule type="containsText" dxfId="40" priority="6" operator="containsText" text="Run ANSYS"/>
    <x:cfRule type="containsText" dxfId="41" priority="7" operator="containsText" text="Screening"/>
  </x:conditionalFormatting>
  <x:pageMargins left="0.7" right="0.7" top="0.75" bottom="0.75" header="0.3" footer="0.3"/>
</x:worksheet>
</file>